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2eae114b153921f3/Desktop/QSPIDER/Data Science/Excel/Submitted Project/"/>
    </mc:Choice>
  </mc:AlternateContent>
  <xr:revisionPtr revIDLastSave="2299" documentId="8_{7553DE48-2BBF-4484-8B3B-6EB634705094}" xr6:coauthVersionLast="47" xr6:coauthVersionMax="47" xr10:uidLastSave="{25F9F2A2-5356-4E08-A316-9819A68070F1}"/>
  <bookViews>
    <workbookView xWindow="-110" yWindow="-110" windowWidth="19420" windowHeight="10300" xr2:uid="{00000000-000D-0000-FFFF-FFFF00000000}"/>
  </bookViews>
  <sheets>
    <sheet name="MINI PROJECT OVERVIEW" sheetId="1" r:id="rId1"/>
    <sheet name="Task 1 Answer - Data Analysis" sheetId="2" r:id="rId2"/>
    <sheet name="Task1 -Data Analysis -Pivot" sheetId="3" r:id="rId3"/>
    <sheet name="Task 2 An  Employee Performance" sheetId="4" r:id="rId4"/>
    <sheet name="Task 3 Answer - Sales Lookup" sheetId="5" r:id="rId5"/>
    <sheet name="Task 4 - last pivot" sheetId="10" r:id="rId6"/>
    <sheet name="Task 4-Total Sales by Region" sheetId="7" r:id="rId7"/>
    <sheet name="Task4 -Total Sales by Product" sheetId="8" r:id="rId8"/>
    <sheet name="Task 4- Total sales per employe" sheetId="9" r:id="rId9"/>
    <sheet name="Task 4 Answers - Pivot Table" sheetId="6" r:id="rId10"/>
    <sheet name="Task 5 Ans - What if analysis" sheetId="11" r:id="rId11"/>
    <sheet name="Task 5 Ans-Scenario Summary" sheetId="12" r:id="rId12"/>
    <sheet name="Task 6 Ans- Macros" sheetId="13" r:id="rId13"/>
  </sheets>
  <definedNames>
    <definedName name="_xlnm._FilterDatabase" localSheetId="1" hidden="1">'Task 1 Answer - Data Analysis'!$A$4:$L$24</definedName>
    <definedName name="_xlnm._FilterDatabase" localSheetId="3" hidden="1">'Task 2 An  Employee Performance'!$G$3:$G$23</definedName>
    <definedName name="_xlnm._FilterDatabase" localSheetId="12" hidden="1">'Task 6 Ans- Macros'!$A$3:$L$23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13" l="1"/>
  <c r="C41" i="13"/>
  <c r="C40" i="13"/>
  <c r="C39" i="13"/>
  <c r="C27" i="13"/>
  <c r="C28" i="13"/>
  <c r="C29" i="13"/>
  <c r="C32" i="13"/>
  <c r="C28" i="2"/>
  <c r="B38" i="11"/>
  <c r="B12" i="11"/>
  <c r="B4" i="11"/>
  <c r="P18" i="5"/>
  <c r="P14" i="5"/>
  <c r="P10" i="5"/>
  <c r="P7" i="5"/>
  <c r="P4" i="5"/>
  <c r="E16" i="4"/>
  <c r="E5" i="4"/>
  <c r="E6" i="4"/>
  <c r="E7" i="4"/>
  <c r="E8" i="4"/>
  <c r="E9" i="4"/>
  <c r="E10" i="4"/>
  <c r="E11" i="4"/>
  <c r="E12" i="4"/>
  <c r="E13" i="4"/>
  <c r="E14" i="4"/>
  <c r="E15" i="4"/>
  <c r="E17" i="4"/>
  <c r="E18" i="4"/>
  <c r="E19" i="4"/>
  <c r="E20" i="4"/>
  <c r="E21" i="4"/>
  <c r="E22" i="4"/>
  <c r="E23" i="4"/>
  <c r="E4" i="4"/>
  <c r="C30" i="2"/>
  <c r="C33" i="2"/>
  <c r="C31" i="2"/>
  <c r="C29" i="2"/>
  <c r="F16" i="4" l="1"/>
  <c r="G16" i="4"/>
  <c r="F5" i="4"/>
  <c r="G5" i="4"/>
  <c r="F6" i="4"/>
  <c r="G6" i="4"/>
  <c r="G7" i="4"/>
  <c r="F7" i="4"/>
  <c r="G8" i="4"/>
  <c r="F8" i="4"/>
  <c r="F9" i="4"/>
  <c r="G9" i="4"/>
  <c r="F10" i="4"/>
  <c r="G10" i="4"/>
  <c r="G11" i="4"/>
  <c r="F11" i="4"/>
  <c r="G12" i="4"/>
  <c r="F12" i="4"/>
  <c r="F13" i="4"/>
  <c r="G13" i="4"/>
  <c r="F14" i="4"/>
  <c r="G14" i="4"/>
  <c r="F15" i="4"/>
  <c r="G15" i="4"/>
  <c r="F17" i="4"/>
  <c r="G17" i="4"/>
  <c r="F18" i="4"/>
  <c r="G18" i="4"/>
  <c r="F19" i="4"/>
  <c r="G19" i="4"/>
  <c r="F20" i="4"/>
  <c r="G20" i="4"/>
  <c r="F21" i="4"/>
  <c r="G21" i="4"/>
  <c r="F22" i="4"/>
  <c r="G22" i="4"/>
  <c r="G23" i="4"/>
  <c r="F23" i="4"/>
  <c r="F4" i="4"/>
  <c r="G4" i="4"/>
</calcChain>
</file>

<file path=xl/sharedStrings.xml><?xml version="1.0" encoding="utf-8"?>
<sst xmlns="http://schemas.openxmlformats.org/spreadsheetml/2006/main" count="1260" uniqueCount="236">
  <si>
    <t>EXCEL MINI PROJECT – SALES PERFORMANCE ANALYSIS</t>
  </si>
  <si>
    <t>Scenario</t>
  </si>
  <si>
    <t>You are working as a Junior Data Analyst for a retail company. The company has provided you with sales data for 20 employees. Your task is to analyze the sales performance and provide useful insights to management.</t>
  </si>
  <si>
    <t>You are provided with an Excel dataset containing the following columns:</t>
  </si>
  <si>
    <t>Task 2: Employee Performance</t>
  </si>
  <si>
    <r>
      <t xml:space="preserve">Create a new column called </t>
    </r>
    <r>
      <rPr>
        <b/>
        <sz val="11"/>
        <color theme="1"/>
        <rFont val="Calibri"/>
        <family val="2"/>
        <scheme val="minor"/>
      </rPr>
      <t>Performance Status</t>
    </r>
    <r>
      <rPr>
        <sz val="11"/>
        <color theme="1"/>
        <rFont val="Calibri"/>
        <family val="2"/>
        <scheme val="minor"/>
      </rPr>
      <t>.</t>
    </r>
  </si>
  <si>
    <t>Classify employees as:</t>
  </si>
  <si>
    <r>
      <t>Excellent</t>
    </r>
    <r>
      <rPr>
        <sz val="11"/>
        <color theme="1"/>
        <rFont val="Calibri"/>
        <family val="2"/>
        <scheme val="minor"/>
      </rPr>
      <t xml:space="preserve"> – Rating A</t>
    </r>
  </si>
  <si>
    <r>
      <t>Good</t>
    </r>
    <r>
      <rPr>
        <sz val="11"/>
        <color theme="1"/>
        <rFont val="Calibri"/>
        <family val="2"/>
        <scheme val="minor"/>
      </rPr>
      <t xml:space="preserve"> – Rating B</t>
    </r>
  </si>
  <si>
    <r>
      <t>Average</t>
    </r>
    <r>
      <rPr>
        <sz val="11"/>
        <color theme="1"/>
        <rFont val="Calibri"/>
        <family val="2"/>
        <scheme val="minor"/>
      </rPr>
      <t xml:space="preserve"> – Rating C</t>
    </r>
  </si>
  <si>
    <r>
      <t>Needs Improvement</t>
    </r>
    <r>
      <rPr>
        <sz val="11"/>
        <color theme="1"/>
        <rFont val="Calibri"/>
        <family val="2"/>
        <scheme val="minor"/>
      </rPr>
      <t xml:space="preserve"> – Rating D</t>
    </r>
  </si>
  <si>
    <t>Identify employees who are eligible for a bonus based on the following condition:</t>
  </si>
  <si>
    <r>
      <t xml:space="preserve">An employee is eligible for a bonus if their Sales Amount is greater than ₹50,000 </t>
    </r>
    <r>
      <rPr>
        <b/>
        <sz val="11"/>
        <color theme="1"/>
        <rFont val="Calibri"/>
        <family val="2"/>
        <scheme val="minor"/>
      </rPr>
      <t>AND</t>
    </r>
    <r>
      <rPr>
        <sz val="11"/>
        <color theme="1"/>
        <rFont val="Calibri"/>
        <family val="2"/>
        <scheme val="minor"/>
      </rPr>
      <t xml:space="preserve"> their Performance Rating is A.</t>
    </r>
  </si>
  <si>
    <t>Task 3: Sales Lookup</t>
  </si>
  <si>
    <r>
      <t xml:space="preserve">Create a separate </t>
    </r>
    <r>
      <rPr>
        <b/>
        <sz val="11"/>
        <color theme="1"/>
        <rFont val="Calibri"/>
        <family val="2"/>
        <scheme val="minor"/>
      </rPr>
      <t>Employee Search</t>
    </r>
    <r>
      <rPr>
        <sz val="11"/>
        <color theme="1"/>
        <rFont val="Calibri"/>
        <family val="2"/>
        <scheme val="minor"/>
      </rPr>
      <t xml:space="preserve"> section.</t>
    </r>
  </si>
  <si>
    <t>Allow the user to enter an Employee ID and automatically display:</t>
  </si>
  <si>
    <t>Employee Name</t>
  </si>
  <si>
    <t>Department</t>
  </si>
  <si>
    <t>Region</t>
  </si>
  <si>
    <t>Sales Amount</t>
  </si>
  <si>
    <t>Performance Rating</t>
  </si>
  <si>
    <t>Use an appropriate Excel lookup method.</t>
  </si>
  <si>
    <t>Task 4: Pivot Table</t>
  </si>
  <si>
    <t>Create a Pivot Table to analyze:</t>
  </si>
  <si>
    <t>1. Total Sales by Region</t>
  </si>
  <si>
    <t>2. Total Sales by Product</t>
  </si>
  <si>
    <t>3. Total Sales by Employee</t>
  </si>
  <si>
    <t>Identify:</t>
  </si>
  <si>
    <t>The best-performing region</t>
  </si>
  <si>
    <t>The best-selling product</t>
  </si>
  <si>
    <t>The top-performing employee</t>
  </si>
  <si>
    <r>
      <t xml:space="preserve">Create </t>
    </r>
    <r>
      <rPr>
        <b/>
        <sz val="11"/>
        <color theme="1"/>
        <rFont val="Calibri"/>
        <family val="2"/>
        <scheme val="minor"/>
      </rPr>
      <t>one suitable Pivot Chart</t>
    </r>
    <r>
      <rPr>
        <sz val="11"/>
        <color theme="1"/>
        <rFont val="Calibri"/>
        <family val="2"/>
        <scheme val="minor"/>
      </rPr>
      <t xml:space="preserve"> to visualize the results.</t>
    </r>
  </si>
  <si>
    <t>Task 5: What-If Analysis</t>
  </si>
  <si>
    <t>The company currently has total sales of ₹5,00,000 and wants to achieve a target of ₹7,00,000.</t>
  </si>
  <si>
    <r>
      <t xml:space="preserve">Use </t>
    </r>
    <r>
      <rPr>
        <b/>
        <sz val="11"/>
        <color theme="1"/>
        <rFont val="Calibri"/>
        <family val="2"/>
        <scheme val="minor"/>
      </rPr>
      <t>Goal Seek</t>
    </r>
    <r>
      <rPr>
        <sz val="11"/>
        <color theme="1"/>
        <rFont val="Calibri"/>
        <family val="2"/>
        <scheme val="minor"/>
      </rPr>
      <t xml:space="preserve"> to determine:</t>
    </r>
  </si>
  <si>
    <t>What percentage increase in average sales is required to achieve the target sales?</t>
  </si>
  <si>
    <r>
      <t xml:space="preserve">Create a small </t>
    </r>
    <r>
      <rPr>
        <b/>
        <sz val="11"/>
        <color theme="1"/>
        <rFont val="Calibri"/>
        <family val="2"/>
        <scheme val="minor"/>
      </rPr>
      <t>What-If Analysis table</t>
    </r>
    <r>
      <rPr>
        <sz val="11"/>
        <color theme="1"/>
        <rFont val="Calibri"/>
        <family val="2"/>
        <scheme val="minor"/>
      </rPr>
      <t xml:space="preserve"> showing the expected total sales under these scenarios:</t>
    </r>
  </si>
  <si>
    <t>5% increase in sales</t>
  </si>
  <si>
    <t>10% increase in sales</t>
  </si>
  <si>
    <t>15% increase in sales</t>
  </si>
  <si>
    <t>20% increase in sales</t>
  </si>
  <si>
    <t>Task 6: Macro</t>
  </si>
  <si>
    <r>
      <t xml:space="preserve">Create a simple macro named </t>
    </r>
    <r>
      <rPr>
        <b/>
        <sz val="11"/>
        <color theme="1"/>
        <rFont val="Calibri"/>
        <family val="2"/>
        <scheme val="minor"/>
      </rPr>
      <t>Generate_Summary</t>
    </r>
    <r>
      <rPr>
        <sz val="11"/>
        <color theme="1"/>
        <rFont val="Calibri"/>
        <family val="2"/>
        <scheme val="minor"/>
      </rPr>
      <t>.</t>
    </r>
  </si>
  <si>
    <t>When the macro is executed, it should:</t>
  </si>
  <si>
    <t>1. Create or update a summary section.</t>
  </si>
  <si>
    <t>2. Display:</t>
  </si>
  <si>
    <t>Total Sales</t>
  </si>
  <si>
    <t>Average Sales</t>
  </si>
  <si>
    <t>Highest Sales</t>
  </si>
  <si>
    <t>Top Employee</t>
  </si>
  <si>
    <t>Best Region</t>
  </si>
  <si>
    <t>3. Add the current date to the report.</t>
  </si>
  <si>
    <r>
      <t xml:space="preserve">Add a button named </t>
    </r>
    <r>
      <rPr>
        <b/>
        <sz val="11"/>
        <color theme="1"/>
        <rFont val="Calibri"/>
        <family val="2"/>
        <scheme val="minor"/>
      </rPr>
      <t>Generate Summary</t>
    </r>
    <r>
      <rPr>
        <sz val="11"/>
        <color theme="1"/>
        <rFont val="Calibri"/>
        <family val="2"/>
        <scheme val="minor"/>
      </rPr>
      <t xml:space="preserve"> to run the macro.</t>
    </r>
  </si>
  <si>
    <t>Final Question</t>
  </si>
  <si>
    <t>Based on your analysis, provide a short recommendation to management:</t>
  </si>
  <si>
    <t>Which region, product, and employee should the company focus on to improve its sales performance, and what strategy would you recommend to achieve the ₹7,00,000 sales target?</t>
  </si>
  <si>
    <t>Expected Deliverables</t>
  </si>
  <si>
    <r>
      <t xml:space="preserve">Submit </t>
    </r>
    <r>
      <rPr>
        <b/>
        <sz val="11"/>
        <color theme="1"/>
        <rFont val="Calibri"/>
        <family val="2"/>
        <scheme val="minor"/>
      </rPr>
      <t>one Excel workbook</t>
    </r>
    <r>
      <rPr>
        <sz val="11"/>
        <color theme="1"/>
        <rFont val="Calibri"/>
        <family val="2"/>
        <scheme val="minor"/>
      </rPr>
      <t xml:space="preserve"> containing:</t>
    </r>
  </si>
  <si>
    <t>1. Sales Data</t>
  </si>
  <si>
    <t>2. Analysis</t>
  </si>
  <si>
    <t>3. Lookup</t>
  </si>
  <si>
    <t>4. Pivot Analysis</t>
  </si>
  <si>
    <t>5. What-If Analysis</t>
  </si>
  <si>
    <t>6. Summary Report</t>
  </si>
  <si>
    <t>Time Limit: 2 Hour</t>
  </si>
  <si>
    <t>Employee ID</t>
  </si>
  <si>
    <t>Product</t>
  </si>
  <si>
    <t>Quantity Sold</t>
  </si>
  <si>
    <t>Selling Date</t>
  </si>
  <si>
    <t>Payment Method</t>
  </si>
  <si>
    <t>Year of Joining</t>
  </si>
  <si>
    <t>Joining Date</t>
  </si>
  <si>
    <t>E001</t>
  </si>
  <si>
    <t>Rahul</t>
  </si>
  <si>
    <t>Sales</t>
  </si>
  <si>
    <t>North</t>
  </si>
  <si>
    <t>Laptop</t>
  </si>
  <si>
    <t>UPI</t>
  </si>
  <si>
    <t>Excellent</t>
  </si>
  <si>
    <t>E002</t>
  </si>
  <si>
    <t>Priya</t>
  </si>
  <si>
    <t>Marketing</t>
  </si>
  <si>
    <t>South</t>
  </si>
  <si>
    <t>Mobile</t>
  </si>
  <si>
    <t>Credit Card</t>
  </si>
  <si>
    <t>Good</t>
  </si>
  <si>
    <t>E003</t>
  </si>
  <si>
    <t>Arjun</t>
  </si>
  <si>
    <t>East</t>
  </si>
  <si>
    <t>Tablet</t>
  </si>
  <si>
    <t>Cash</t>
  </si>
  <si>
    <t>Average</t>
  </si>
  <si>
    <t>E004</t>
  </si>
  <si>
    <t>Sneha</t>
  </si>
  <si>
    <t>HR</t>
  </si>
  <si>
    <t>West</t>
  </si>
  <si>
    <t>E005</t>
  </si>
  <si>
    <t>Kiran</t>
  </si>
  <si>
    <t>Debit Card</t>
  </si>
  <si>
    <t>E006</t>
  </si>
  <si>
    <t>Ananya</t>
  </si>
  <si>
    <t>Finance</t>
  </si>
  <si>
    <t>E007</t>
  </si>
  <si>
    <t>Vikram</t>
  </si>
  <si>
    <t>E008</t>
  </si>
  <si>
    <t>Divya</t>
  </si>
  <si>
    <t>E009</t>
  </si>
  <si>
    <t>Rohan</t>
  </si>
  <si>
    <t>E010</t>
  </si>
  <si>
    <t>Meena</t>
  </si>
  <si>
    <t>E011</t>
  </si>
  <si>
    <t>Ajay</t>
  </si>
  <si>
    <t>E012</t>
  </si>
  <si>
    <t>Pooja</t>
  </si>
  <si>
    <t>E013</t>
  </si>
  <si>
    <t>Sanjay</t>
  </si>
  <si>
    <t>E014</t>
  </si>
  <si>
    <t>Kavya</t>
  </si>
  <si>
    <t>E015</t>
  </si>
  <si>
    <t>Naveen</t>
  </si>
  <si>
    <t>E016</t>
  </si>
  <si>
    <t>Aishwarya</t>
  </si>
  <si>
    <t>E017</t>
  </si>
  <si>
    <t>Manish</t>
  </si>
  <si>
    <t>E018</t>
  </si>
  <si>
    <t>Swathi</t>
  </si>
  <si>
    <t>E019</t>
  </si>
  <si>
    <t>Harish</t>
  </si>
  <si>
    <t>E020</t>
  </si>
  <si>
    <t>Neha</t>
  </si>
  <si>
    <t>In order to Analyse the total sales and performance I've caluclated  below details</t>
  </si>
  <si>
    <t xml:space="preserve"> </t>
  </si>
  <si>
    <t>Average Sales per employee</t>
  </si>
  <si>
    <t>Highest Sale</t>
  </si>
  <si>
    <t>Lowest Sale</t>
  </si>
  <si>
    <t>Employee</t>
  </si>
  <si>
    <t>Top performce Employee</t>
  </si>
  <si>
    <t>Total number of employees</t>
  </si>
  <si>
    <t>First 5 top performing employees</t>
  </si>
  <si>
    <t>Analyse the sales by region and Product - Created a Pivot Table on the next Sheet</t>
  </si>
  <si>
    <t>Row Labels</t>
  </si>
  <si>
    <t>Grand Total</t>
  </si>
  <si>
    <t>Sum of Sales Amount</t>
  </si>
  <si>
    <t>Sales Amount based on the region</t>
  </si>
  <si>
    <t>Sales amount based on the Product</t>
  </si>
  <si>
    <t>Total Sales based on the product and region</t>
  </si>
  <si>
    <t>Final Insights to the team:</t>
  </si>
  <si>
    <t>As per my sales perfromance analysis, total sales is $1280000 and avergae sale of $64,000</t>
  </si>
  <si>
    <t>The highest sales amount is 150000 which was done by Employee Ajay</t>
  </si>
  <si>
    <t>The lowest sales amount is $26,000</t>
  </si>
  <si>
    <t xml:space="preserve">East region achived the highest sales by $400000 </t>
  </si>
  <si>
    <t>Lowest sales happened at west region with $392000</t>
  </si>
  <si>
    <t>Highest sales achieved for the product laptop with sales amount $760000</t>
  </si>
  <si>
    <t>lowest sales occurred for product Tablet with total sales amount of $215000</t>
  </si>
  <si>
    <t>Based on the above findings laptop should be in stock at East Region and have some room t improve at the North region in terms of the product Laptop</t>
  </si>
  <si>
    <t>Final Insights</t>
  </si>
  <si>
    <t>Appreciations action should be taken towards highest perfroming employees so the sales perfromance can expect much more hike in the next cycle</t>
  </si>
  <si>
    <t>Performance
Status</t>
  </si>
  <si>
    <t>Bonus
Status</t>
  </si>
  <si>
    <t>A</t>
  </si>
  <si>
    <t>Eligible for Bonus</t>
  </si>
  <si>
    <t xml:space="preserve">I have created columns for Performance rating and performance status using Nested if and IF,AND </t>
  </si>
  <si>
    <t>Based on the search and filter these are the employess who are eligible for the Bonus</t>
  </si>
  <si>
    <t>Employee
 ID</t>
  </si>
  <si>
    <t>Name</t>
  </si>
  <si>
    <t>Performance
 Rating</t>
  </si>
  <si>
    <t>Sales look up answers</t>
  </si>
  <si>
    <t>Answer for Total Sales By region $1280000 and sales per regions are listed bwlo</t>
  </si>
  <si>
    <t>Regions</t>
  </si>
  <si>
    <t>Total Sales by Product are listed below</t>
  </si>
  <si>
    <t>Total Sales by Employee</t>
  </si>
  <si>
    <t>1. Anwers for Best Performing Region:</t>
  </si>
  <si>
    <t>2. Best-selling product : Laptop</t>
  </si>
  <si>
    <t xml:space="preserve">3. The top performing employee :Vikram (Total Sales Amount - $120000) </t>
  </si>
  <si>
    <t>East is the best perfroming region</t>
  </si>
  <si>
    <t>Laptop is the best selling product</t>
  </si>
  <si>
    <t>Ajay is the top performing employee</t>
  </si>
  <si>
    <t>Current Total Sales</t>
  </si>
  <si>
    <t>Sales Increase %</t>
  </si>
  <si>
    <t>Expected Total Sales</t>
  </si>
  <si>
    <t>Target Sales</t>
  </si>
  <si>
    <t>Sales Details</t>
  </si>
  <si>
    <t>Answer: I've used the What if Analysis &gt; Goal seek to change the Total sales from 5,00,000 t 7,00,000 by changing the sales increase percentage. With Goal seek by changing the sales % to 40% we can increase the Total sales to $7,00,000</t>
  </si>
  <si>
    <r>
      <rPr>
        <b/>
        <sz val="11"/>
        <color rgb="FFFF0000"/>
        <rFont val="Calibri"/>
        <family val="2"/>
        <scheme val="minor"/>
      </rPr>
      <t>What percentage increase in average sales is required to achieve the target sales?</t>
    </r>
    <r>
      <rPr>
        <sz val="11"/>
        <color theme="1"/>
        <rFont val="Calibri"/>
        <family val="2"/>
        <scheme val="minor"/>
      </rPr>
      <t xml:space="preserve"> </t>
    </r>
  </si>
  <si>
    <t>40% increase in sale helps to achive the targeted goal</t>
  </si>
  <si>
    <t xml:space="preserve">1. Use Goal Seek to determine: </t>
  </si>
  <si>
    <t>2. Create a small What-If Analysis table showing the expected total sales under these scenarios:</t>
  </si>
  <si>
    <t>$B$37</t>
  </si>
  <si>
    <t>$B$38</t>
  </si>
  <si>
    <t>5% increase</t>
  </si>
  <si>
    <t>Created by Drishya Ashwin on 9/30/2026</t>
  </si>
  <si>
    <t>10% increase</t>
  </si>
  <si>
    <t>15% increase</t>
  </si>
  <si>
    <t>20% increase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</si>
  <si>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</si>
  <si>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</si>
  <si>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</si>
  <si>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</si>
  <si>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</si>
  <si>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</si>
  <si>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</si>
  <si>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 xml:space="preserve">Answer: Refer Task 5 - Ans - Scenario Summary </t>
  </si>
  <si>
    <t>Summary Section listed below</t>
  </si>
  <si>
    <t xml:space="preserve">Curent Date </t>
  </si>
  <si>
    <t>Result</t>
  </si>
  <si>
    <t>Sales Summary Report</t>
  </si>
  <si>
    <t>Area</t>
  </si>
  <si>
    <t>Highest performer</t>
  </si>
  <si>
    <t>₹4,00,000</t>
  </si>
  <si>
    <t>₹7,60,000</t>
  </si>
  <si>
    <t>Ajay (E011)</t>
  </si>
  <si>
    <t>₹1,50,000</t>
  </si>
  <si>
    <t>1. Region to focus on — East</t>
  </si>
  <si>
    <t>Suggestions:</t>
  </si>
  <si>
    <t>Maintain the East regions sales</t>
  </si>
  <si>
    <t>Replicate East region practices t South and other regions</t>
  </si>
  <si>
    <t>Give additional attention to North region</t>
  </si>
  <si>
    <t>2. Product to focus on</t>
  </si>
  <si>
    <t>suggestions:</t>
  </si>
  <si>
    <t>Increase laptop promotions and sticks</t>
  </si>
  <si>
    <t>Encourage high performing employee to focus on Laptop</t>
  </si>
  <si>
    <t>Analyse why laptop demand is high and apply insights to other products</t>
  </si>
  <si>
    <t>3. Employee to focus on — Ajay</t>
  </si>
  <si>
    <t xml:space="preserve">Recogonise and re-use Ajay's practies </t>
  </si>
  <si>
    <t>Share sales techniques with other employess</t>
  </si>
  <si>
    <t>Required additional sales:</t>
  </si>
  <si>
    <t>4. Strategy to achieve the $7,00,000 target</t>
  </si>
  <si>
    <t>Ajay generated $1,50,000, the highest individual sales amount</t>
  </si>
  <si>
    <t>Laptops generated $7,60,000</t>
  </si>
  <si>
    <t>The East region has the highest sales at $4,00,000</t>
  </si>
  <si>
    <t>$7,00,000 − $5,00,000 = $2,00,000</t>
  </si>
  <si>
    <t>Required percentage increase:</t>
  </si>
  <si>
    <t>($2,00,000 / $5,00,000) × 100 = 40%</t>
  </si>
  <si>
    <t>So the company needs a 40% increase from the $5,00,000</t>
  </si>
  <si>
    <t>A strategy to do the sales Increment:</t>
  </si>
  <si>
    <t>Focus on East , Laptops , high-performing employees, while expanding the successful approach into West and other lower-performing regions.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</si>
</sst>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0"/>
      <color theme="1"/>
      <name val="Arial Unicode MS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left" vertical="center" inden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15" fontId="0" fillId="0" borderId="1" xfId="0" applyNumberForma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/>
    <xf numFmtId="0" fontId="6" fillId="0" borderId="0" xfId="0" applyFont="1"/>
    <xf numFmtId="0" fontId="1" fillId="0" borderId="1" xfId="0" applyFont="1" applyBorder="1"/>
    <xf numFmtId="0" fontId="7" fillId="0" borderId="0" xfId="0" applyFont="1"/>
    <xf numFmtId="0" fontId="8" fillId="0" borderId="1" xfId="0" applyFont="1" applyBorder="1" applyAlignment="1">
      <alignment vertical="center"/>
    </xf>
    <xf numFmtId="0" fontId="1" fillId="3" borderId="1" xfId="0" applyFont="1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4" borderId="1" xfId="0" applyFill="1" applyBorder="1"/>
    <xf numFmtId="0" fontId="1" fillId="0" borderId="1" xfId="0" applyFont="1" applyBorder="1" applyAlignment="1">
      <alignment wrapText="1"/>
    </xf>
    <xf numFmtId="0" fontId="1" fillId="5" borderId="2" xfId="0" applyFont="1" applyFill="1" applyBorder="1"/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1" fillId="0" borderId="1" xfId="0" applyFont="1" applyBorder="1" applyAlignment="1">
      <alignment horizontal="center" vertical="center" wrapText="1"/>
    </xf>
    <xf numFmtId="3" fontId="0" fillId="0" borderId="1" xfId="0" applyNumberFormat="1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9" fontId="5" fillId="0" borderId="1" xfId="0" applyNumberFormat="1" applyFont="1" applyBorder="1" applyAlignment="1">
      <alignment vertical="center" wrapText="1"/>
    </xf>
    <xf numFmtId="9" fontId="0" fillId="0" borderId="0" xfId="0" applyNumberFormat="1"/>
    <xf numFmtId="0" fontId="0" fillId="0" borderId="4" xfId="0" applyBorder="1"/>
    <xf numFmtId="0" fontId="10" fillId="6" borderId="5" xfId="0" applyFont="1" applyFill="1" applyBorder="1" applyAlignment="1">
      <alignment horizontal="left"/>
    </xf>
    <xf numFmtId="0" fontId="10" fillId="6" borderId="3" xfId="0" applyFont="1" applyFill="1" applyBorder="1" applyAlignment="1">
      <alignment horizontal="left"/>
    </xf>
    <xf numFmtId="0" fontId="0" fillId="0" borderId="6" xfId="0" applyBorder="1"/>
    <xf numFmtId="0" fontId="11" fillId="7" borderId="0" xfId="0" applyFont="1" applyFill="1" applyAlignment="1">
      <alignment horizontal="left"/>
    </xf>
    <xf numFmtId="0" fontId="12" fillId="7" borderId="6" xfId="0" applyFont="1" applyFill="1" applyBorder="1" applyAlignment="1">
      <alignment horizontal="left"/>
    </xf>
    <xf numFmtId="0" fontId="11" fillId="7" borderId="4" xfId="0" applyFont="1" applyFill="1" applyBorder="1" applyAlignment="1">
      <alignment horizontal="left"/>
    </xf>
    <xf numFmtId="0" fontId="13" fillId="6" borderId="3" xfId="0" applyFont="1" applyFill="1" applyBorder="1" applyAlignment="1">
      <alignment horizontal="right"/>
    </xf>
    <xf numFmtId="0" fontId="13" fillId="6" borderId="5" xfId="0" applyFont="1" applyFill="1" applyBorder="1" applyAlignment="1">
      <alignment horizontal="right"/>
    </xf>
    <xf numFmtId="9" fontId="0" fillId="8" borderId="0" xfId="0" applyNumberFormat="1" applyFill="1"/>
    <xf numFmtId="0" fontId="14" fillId="0" borderId="0" xfId="0" applyFont="1" applyAlignment="1">
      <alignment vertical="top" wrapText="1"/>
    </xf>
    <xf numFmtId="0" fontId="0" fillId="0" borderId="0" xfId="0" applyAlignment="1">
      <alignment horizontal="right" vertical="center" indent="1"/>
    </xf>
    <xf numFmtId="14" fontId="0" fillId="0" borderId="0" xfId="0" applyNumberFormat="1" applyAlignment="1">
      <alignment horizontal="right"/>
    </xf>
    <xf numFmtId="0" fontId="8" fillId="0" borderId="0" xfId="0" applyFont="1" applyAlignment="1">
      <alignment vertical="center"/>
    </xf>
    <xf numFmtId="0" fontId="15" fillId="0" borderId="1" xfId="0" applyFont="1" applyBorder="1" applyAlignment="1">
      <alignment vertical="center"/>
    </xf>
    <xf numFmtId="0" fontId="1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'Task 1 Answer - Data Analysis'!$C$46</c:f>
              <c:strCache>
                <c:ptCount val="1"/>
                <c:pt idx="0">
                  <c:v>Sales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'Task 1 Answer - Data Analysis'!$B$47:$B$51</c:f>
              <c:strCache>
                <c:ptCount val="5"/>
                <c:pt idx="0">
                  <c:v>Ajay</c:v>
                </c:pt>
                <c:pt idx="1">
                  <c:v>Neha</c:v>
                </c:pt>
                <c:pt idx="2">
                  <c:v>Vikram</c:v>
                </c:pt>
                <c:pt idx="3">
                  <c:v>Kavya</c:v>
                </c:pt>
                <c:pt idx="4">
                  <c:v>Sneha</c:v>
                </c:pt>
              </c:strCache>
            </c:strRef>
          </c:cat>
          <c:val>
            <c:numRef>
              <c:f>'Task 1 Answer - Data Analysis'!$C$47:$C$51</c:f>
              <c:numCache>
                <c:formatCode>General</c:formatCode>
                <c:ptCount val="5"/>
                <c:pt idx="0">
                  <c:v>150000</c:v>
                </c:pt>
                <c:pt idx="1">
                  <c:v>132000</c:v>
                </c:pt>
                <c:pt idx="2">
                  <c:v>120000</c:v>
                </c:pt>
                <c:pt idx="3">
                  <c:v>105000</c:v>
                </c:pt>
                <c:pt idx="4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15-4DA3-AE32-F83F9B09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2553120"/>
        <c:axId val="27354064"/>
        <c:axId val="0"/>
      </c:bar3DChart>
      <c:catAx>
        <c:axId val="16255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Employee</a:t>
                </a:r>
              </a:p>
              <a:p>
                <a:pPr>
                  <a:defRPr/>
                </a:pP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54064"/>
        <c:crosses val="autoZero"/>
        <c:auto val="1"/>
        <c:lblAlgn val="ctr"/>
        <c:lblOffset val="100"/>
        <c:noMultiLvlLbl val="0"/>
      </c:catAx>
      <c:valAx>
        <c:axId val="2735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Sales</a:t>
                </a:r>
                <a:r>
                  <a:rPr lang="en-CA" baseline="0"/>
                  <a:t> </a:t>
                </a:r>
                <a:r>
                  <a:rPr lang="en-CA"/>
                  <a:t>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 Answer - Data Analysis'!$C$57</c:f>
              <c:strCache>
                <c:ptCount val="1"/>
                <c:pt idx="0">
                  <c:v>Sum of Sales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'Task 1 Answer - Data Analysis'!$B$58:$B$61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'Task 1 Answer - Data Analysis'!$C$58:$C$61</c:f>
              <c:numCache>
                <c:formatCode>General</c:formatCode>
                <c:ptCount val="4"/>
                <c:pt idx="0">
                  <c:v>400000</c:v>
                </c:pt>
                <c:pt idx="1">
                  <c:v>216000</c:v>
                </c:pt>
                <c:pt idx="2">
                  <c:v>272000</c:v>
                </c:pt>
                <c:pt idx="3">
                  <c:v>392000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8-40AC-957F-9721EAA29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561984"/>
        <c:axId val="27409264"/>
      </c:barChart>
      <c:catAx>
        <c:axId val="26756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9264"/>
        <c:crosses val="autoZero"/>
        <c:auto val="1"/>
        <c:lblAlgn val="ctr"/>
        <c:lblOffset val="100"/>
        <c:noMultiLvlLbl val="0"/>
      </c:catAx>
      <c:valAx>
        <c:axId val="2740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Sales 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39543</xdr:colOff>
      <xdr:row>33</xdr:row>
      <xdr:rowOff>57150</xdr:rowOff>
    </xdr:from>
    <xdr:to>
      <xdr:col>6</xdr:col>
      <xdr:colOff>396874</xdr:colOff>
      <xdr:row>43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13BBB7-52F8-6480-428B-25385F9A9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143" y="7239000"/>
          <a:ext cx="5253181" cy="1841500"/>
        </a:xfrm>
        <a:prstGeom prst="rect">
          <a:avLst/>
        </a:prstGeom>
      </xdr:spPr>
    </xdr:pic>
    <xdr:clientData/>
  </xdr:twoCellAnchor>
  <xdr:twoCellAnchor>
    <xdr:from>
      <xdr:col>5</xdr:col>
      <xdr:colOff>155575</xdr:colOff>
      <xdr:row>44</xdr:row>
      <xdr:rowOff>101600</xdr:rowOff>
    </xdr:from>
    <xdr:to>
      <xdr:col>11</xdr:col>
      <xdr:colOff>196850</xdr:colOff>
      <xdr:row>54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46A35D-E3E6-C12A-861E-720EC1F25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193675</xdr:colOff>
      <xdr:row>55</xdr:row>
      <xdr:rowOff>101600</xdr:rowOff>
    </xdr:from>
    <xdr:to>
      <xdr:col>11</xdr:col>
      <xdr:colOff>44450</xdr:colOff>
      <xdr:row>67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DDB3ED-5AAC-655C-B848-A2213FAB2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rishya Ashwin" refreshedDate="46295.487838541667" createdVersion="8" refreshedVersion="8" minRefreshableVersion="3" recordCount="20" xr:uid="{0D4306A8-47D7-4BE7-A12D-1447632E1373}">
  <cacheSource type="worksheet">
    <worksheetSource ref="A4:L24" sheet="Task 1 Answer - Data Analysis"/>
  </cacheSource>
  <cacheFields count="12">
    <cacheField name="Employee ID" numFmtId="0">
      <sharedItems/>
    </cacheField>
    <cacheField name="Employee Name" numFmtId="0">
      <sharedItems/>
    </cacheField>
    <cacheField name="Department" numFmtId="0">
      <sharedItems/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 count="3">
        <s v="Laptop"/>
        <s v="Mobile"/>
        <s v="Tablet"/>
      </sharedItems>
    </cacheField>
    <cacheField name="Sales Amount" numFmtId="0">
      <sharedItems containsSemiMixedTypes="0" containsString="0" containsNumber="1" containsInteger="1" minValue="26000" maxValue="150000"/>
    </cacheField>
    <cacheField name="Quantity Sold" numFmtId="0">
      <sharedItems containsSemiMixedTypes="0" containsString="0" containsNumber="1" containsInteger="1" minValue="2" maxValue="7"/>
    </cacheField>
    <cacheField name="Selling Date" numFmtId="15">
      <sharedItems containsSemiMixedTypes="0" containsNonDate="0" containsDate="1" containsString="0" minDate="2026-01-05T00:00:00" maxDate="2026-03-01T00:00:00"/>
    </cacheField>
    <cacheField name="Payment Method" numFmtId="0">
      <sharedItems/>
    </cacheField>
    <cacheField name="Performance Rating" numFmtId="0">
      <sharedItems/>
    </cacheField>
    <cacheField name="Year of Joining" numFmtId="0">
      <sharedItems containsSemiMixedTypes="0" containsString="0" containsNumber="1" containsInteger="1" minValue="2020" maxValue="2026"/>
    </cacheField>
    <cacheField name="Joining Date" numFmtId="15">
      <sharedItems containsSemiMixedTypes="0" containsNonDate="0" containsDate="1" containsString="0" minDate="2020-01-30T00:00:00" maxDate="2026-04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rishya Ashwin" refreshedDate="46295.554470254632" createdVersion="8" refreshedVersion="8" minRefreshableVersion="3" recordCount="20" xr:uid="{426C36C2-B225-4289-8EFF-3C40A92B4F2E}">
  <cacheSource type="worksheet">
    <worksheetSource ref="B3:M23" sheet="Task 4 Answers - Pivot Table"/>
  </cacheSource>
  <cacheFields count="12">
    <cacheField name="Employee ID" numFmtId="0">
      <sharedItems/>
    </cacheField>
    <cacheField name="Employee Name" numFmtId="0">
      <sharedItems count="20">
        <s v="Rahul"/>
        <s v="Priya"/>
        <s v="Arjun"/>
        <s v="Sneha"/>
        <s v="Kiran"/>
        <s v="Ananya"/>
        <s v="Vikram"/>
        <s v="Divya"/>
        <s v="Rohan"/>
        <s v="Meena"/>
        <s v="Ajay"/>
        <s v="Pooja"/>
        <s v="Sanjay"/>
        <s v="Kavya"/>
        <s v="Naveen"/>
        <s v="Aishwarya"/>
        <s v="Manish"/>
        <s v="Swathi"/>
        <s v="Harish"/>
        <s v="Neha"/>
      </sharedItems>
    </cacheField>
    <cacheField name="Department" numFmtId="0">
      <sharedItems/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 count="3">
        <s v="Laptop"/>
        <s v="Mobile"/>
        <s v="Tablet"/>
      </sharedItems>
    </cacheField>
    <cacheField name="Sales Amount" numFmtId="0">
      <sharedItems containsSemiMixedTypes="0" containsString="0" containsNumber="1" containsInteger="1" minValue="26000" maxValue="150000"/>
    </cacheField>
    <cacheField name="Quantity Sold" numFmtId="0">
      <sharedItems containsSemiMixedTypes="0" containsString="0" containsNumber="1" containsInteger="1" minValue="2" maxValue="7"/>
    </cacheField>
    <cacheField name="Selling Date" numFmtId="15">
      <sharedItems containsSemiMixedTypes="0" containsNonDate="0" containsDate="1" containsString="0" minDate="2026-01-05T00:00:00" maxDate="2026-03-01T00:00:00"/>
    </cacheField>
    <cacheField name="Payment Method" numFmtId="0">
      <sharedItems/>
    </cacheField>
    <cacheField name="Performance Rating" numFmtId="0">
      <sharedItems/>
    </cacheField>
    <cacheField name="Year of Joining" numFmtId="0">
      <sharedItems containsSemiMixedTypes="0" containsString="0" containsNumber="1" containsInteger="1" minValue="2020" maxValue="2026"/>
    </cacheField>
    <cacheField name="Joining Date" numFmtId="15">
      <sharedItems containsSemiMixedTypes="0" containsNonDate="0" containsDate="1" containsString="0" minDate="2020-01-30T00:00:00" maxDate="2026-04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E001"/>
    <s v="Rahul"/>
    <s v="Sales"/>
    <x v="0"/>
    <x v="0"/>
    <n v="75000"/>
    <n v="3"/>
    <d v="2026-01-05T00:00:00"/>
    <s v="UPI"/>
    <s v="Excellent"/>
    <n v="2024"/>
    <d v="2024-06-15T00:00:00"/>
  </r>
  <r>
    <s v="E002"/>
    <s v="Priya"/>
    <s v="Marketing"/>
    <x v="1"/>
    <x v="1"/>
    <n v="45000"/>
    <n v="5"/>
    <d v="2026-01-07T00:00:00"/>
    <s v="Credit Card"/>
    <s v="Good"/>
    <n v="2023"/>
    <d v="2023-08-10T00:00:00"/>
  </r>
  <r>
    <s v="E003"/>
    <s v="Arjun"/>
    <s v="Sales"/>
    <x v="2"/>
    <x v="2"/>
    <n v="36000"/>
    <n v="4"/>
    <d v="2026-01-10T00:00:00"/>
    <s v="Cash"/>
    <s v="Average"/>
    <n v="2020"/>
    <d v="2020-02-22T00:00:00"/>
  </r>
  <r>
    <s v="E004"/>
    <s v="Sneha"/>
    <s v="HR"/>
    <x v="3"/>
    <x v="0"/>
    <n v="90000"/>
    <n v="2"/>
    <d v="2026-01-12T00:00:00"/>
    <s v="UPI"/>
    <s v="Excellent"/>
    <n v="2026"/>
    <d v="2026-01-05T00:00:00"/>
  </r>
  <r>
    <s v="E005"/>
    <s v="Kiran"/>
    <s v="Sales"/>
    <x v="1"/>
    <x v="1"/>
    <n v="54000"/>
    <n v="6"/>
    <d v="2026-01-15T00:00:00"/>
    <s v="Debit Card"/>
    <s v="Good"/>
    <n v="2024"/>
    <d v="2024-09-18T00:00:00"/>
  </r>
  <r>
    <s v="E006"/>
    <s v="Ananya"/>
    <s v="Finance"/>
    <x v="0"/>
    <x v="2"/>
    <n v="28000"/>
    <n v="3"/>
    <d v="2026-01-18T00:00:00"/>
    <s v="UPI"/>
    <s v="Average"/>
    <n v="2023"/>
    <d v="2023-03-25T00:00:00"/>
  </r>
  <r>
    <s v="E007"/>
    <s v="Vikram"/>
    <s v="Marketing"/>
    <x v="2"/>
    <x v="0"/>
    <n v="120000"/>
    <n v="4"/>
    <d v="2026-01-20T00:00:00"/>
    <s v="Credit Card"/>
    <s v="Excellent"/>
    <n v="2020"/>
    <d v="2020-07-12T00:00:00"/>
  </r>
  <r>
    <s v="E008"/>
    <s v="Divya"/>
    <s v="Sales"/>
    <x v="3"/>
    <x v="1"/>
    <n v="32000"/>
    <n v="4"/>
    <d v="2026-01-23T00:00:00"/>
    <s v="Cash"/>
    <s v="Good"/>
    <n v="2026"/>
    <d v="2026-02-20T00:00:00"/>
  </r>
  <r>
    <s v="E009"/>
    <s v="Rohan"/>
    <s v="Finance"/>
    <x v="1"/>
    <x v="2"/>
    <n v="42000"/>
    <n v="5"/>
    <d v="2026-01-25T00:00:00"/>
    <s v="UPI"/>
    <s v="Good"/>
    <n v="2024"/>
    <d v="2024-11-08T00:00:00"/>
  </r>
  <r>
    <s v="E010"/>
    <s v="Meena"/>
    <s v="HR"/>
    <x v="0"/>
    <x v="1"/>
    <n v="27000"/>
    <n v="3"/>
    <d v="2026-01-28T00:00:00"/>
    <s v="Debit Card"/>
    <s v="Average"/>
    <n v="2023"/>
    <d v="2023-05-14T00:00:00"/>
  </r>
  <r>
    <s v="E011"/>
    <s v="Ajay"/>
    <s v="Sales"/>
    <x v="2"/>
    <x v="0"/>
    <n v="150000"/>
    <n v="5"/>
    <d v="2026-02-02T00:00:00"/>
    <s v="Credit Card"/>
    <s v="Excellent"/>
    <n v="2020"/>
    <d v="2020-01-30T00:00:00"/>
  </r>
  <r>
    <s v="E012"/>
    <s v="Pooja"/>
    <s v="Marketing"/>
    <x v="3"/>
    <x v="2"/>
    <n v="50000"/>
    <n v="6"/>
    <d v="2026-02-05T00:00:00"/>
    <s v="UPI"/>
    <s v="Good"/>
    <n v="2024"/>
    <d v="2024-07-16T00:00:00"/>
  </r>
  <r>
    <s v="E013"/>
    <s v="Sanjay"/>
    <s v="Finance"/>
    <x v="0"/>
    <x v="1"/>
    <n v="38000"/>
    <n v="4"/>
    <d v="2026-02-08T00:00:00"/>
    <s v="Cash"/>
    <s v="Average"/>
    <n v="2026"/>
    <d v="2026-03-03T00:00:00"/>
  </r>
  <r>
    <s v="E014"/>
    <s v="Kavya"/>
    <s v="Sales"/>
    <x v="1"/>
    <x v="0"/>
    <n v="105000"/>
    <n v="3"/>
    <d v="2026-02-11T00:00:00"/>
    <s v="UPI"/>
    <s v="Excellent"/>
    <n v="2023"/>
    <d v="2023-10-21T00:00:00"/>
  </r>
  <r>
    <s v="E015"/>
    <s v="Naveen"/>
    <s v="HR"/>
    <x v="2"/>
    <x v="2"/>
    <n v="33000"/>
    <n v="3"/>
    <d v="2026-02-14T00:00:00"/>
    <s v="Debit Card"/>
    <s v="Good"/>
    <n v="2020"/>
    <d v="2020-09-11T00:00:00"/>
  </r>
  <r>
    <s v="E016"/>
    <s v="Aishwarya"/>
    <s v="Marketing"/>
    <x v="0"/>
    <x v="1"/>
    <n v="48000"/>
    <n v="5"/>
    <d v="2026-02-17T00:00:00"/>
    <s v="Credit Card"/>
    <s v="Good"/>
    <n v="2024"/>
    <d v="2024-04-27T00:00:00"/>
  </r>
  <r>
    <s v="E017"/>
    <s v="Manish"/>
    <s v="Sales"/>
    <x v="3"/>
    <x v="0"/>
    <n v="88000"/>
    <n v="2"/>
    <d v="2026-02-20T00:00:00"/>
    <s v="UPI"/>
    <s v="Excellent"/>
    <n v="2023"/>
    <d v="2023-06-06T00:00:00"/>
  </r>
  <r>
    <s v="E018"/>
    <s v="Swathi"/>
    <s v="Finance"/>
    <x v="1"/>
    <x v="2"/>
    <n v="26000"/>
    <n v="2"/>
    <d v="2026-02-23T00:00:00"/>
    <s v="Cash"/>
    <s v="Average"/>
    <n v="2020"/>
    <d v="2020-12-19T00:00:00"/>
  </r>
  <r>
    <s v="E019"/>
    <s v="Harish"/>
    <s v="Sales"/>
    <x v="2"/>
    <x v="1"/>
    <n v="61000"/>
    <n v="7"/>
    <d v="2026-02-25T00:00:00"/>
    <s v="Debit Card"/>
    <s v="Good"/>
    <n v="2026"/>
    <d v="2026-04-15T00:00:00"/>
  </r>
  <r>
    <s v="E020"/>
    <s v="Neha"/>
    <s v="Marketing"/>
    <x v="3"/>
    <x v="0"/>
    <n v="132000"/>
    <n v="4"/>
    <d v="2026-02-28T00:00:00"/>
    <s v="UPI"/>
    <s v="Excellent"/>
    <n v="2024"/>
    <d v="2024-10-09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E001"/>
    <x v="0"/>
    <s v="Sales"/>
    <x v="0"/>
    <x v="0"/>
    <n v="75000"/>
    <n v="3"/>
    <d v="2026-01-05T00:00:00"/>
    <s v="UPI"/>
    <s v="Excellent"/>
    <n v="2024"/>
    <d v="2024-06-15T00:00:00"/>
  </r>
  <r>
    <s v="E002"/>
    <x v="1"/>
    <s v="Marketing"/>
    <x v="1"/>
    <x v="1"/>
    <n v="45000"/>
    <n v="5"/>
    <d v="2026-01-07T00:00:00"/>
    <s v="Credit Card"/>
    <s v="Good"/>
    <n v="2023"/>
    <d v="2023-08-10T00:00:00"/>
  </r>
  <r>
    <s v="E003"/>
    <x v="2"/>
    <s v="Sales"/>
    <x v="2"/>
    <x v="2"/>
    <n v="36000"/>
    <n v="4"/>
    <d v="2026-01-10T00:00:00"/>
    <s v="Cash"/>
    <s v="Average"/>
    <n v="2020"/>
    <d v="2020-02-22T00:00:00"/>
  </r>
  <r>
    <s v="E004"/>
    <x v="3"/>
    <s v="HR"/>
    <x v="3"/>
    <x v="0"/>
    <n v="90000"/>
    <n v="2"/>
    <d v="2026-01-12T00:00:00"/>
    <s v="UPI"/>
    <s v="Excellent"/>
    <n v="2026"/>
    <d v="2026-01-05T00:00:00"/>
  </r>
  <r>
    <s v="E005"/>
    <x v="4"/>
    <s v="Sales"/>
    <x v="1"/>
    <x v="1"/>
    <n v="54000"/>
    <n v="6"/>
    <d v="2026-01-15T00:00:00"/>
    <s v="Debit Card"/>
    <s v="Good"/>
    <n v="2024"/>
    <d v="2024-09-18T00:00:00"/>
  </r>
  <r>
    <s v="E006"/>
    <x v="5"/>
    <s v="Finance"/>
    <x v="0"/>
    <x v="2"/>
    <n v="28000"/>
    <n v="3"/>
    <d v="2026-01-18T00:00:00"/>
    <s v="UPI"/>
    <s v="Average"/>
    <n v="2023"/>
    <d v="2023-03-25T00:00:00"/>
  </r>
  <r>
    <s v="E007"/>
    <x v="6"/>
    <s v="Marketing"/>
    <x v="2"/>
    <x v="0"/>
    <n v="120000"/>
    <n v="4"/>
    <d v="2026-01-20T00:00:00"/>
    <s v="Credit Card"/>
    <s v="Excellent"/>
    <n v="2020"/>
    <d v="2020-07-12T00:00:00"/>
  </r>
  <r>
    <s v="E008"/>
    <x v="7"/>
    <s v="Sales"/>
    <x v="3"/>
    <x v="1"/>
    <n v="32000"/>
    <n v="4"/>
    <d v="2026-01-23T00:00:00"/>
    <s v="Cash"/>
    <s v="Good"/>
    <n v="2026"/>
    <d v="2026-02-20T00:00:00"/>
  </r>
  <r>
    <s v="E009"/>
    <x v="8"/>
    <s v="Finance"/>
    <x v="1"/>
    <x v="2"/>
    <n v="42000"/>
    <n v="5"/>
    <d v="2026-01-25T00:00:00"/>
    <s v="UPI"/>
    <s v="Good"/>
    <n v="2024"/>
    <d v="2024-11-08T00:00:00"/>
  </r>
  <r>
    <s v="E010"/>
    <x v="9"/>
    <s v="HR"/>
    <x v="0"/>
    <x v="1"/>
    <n v="27000"/>
    <n v="3"/>
    <d v="2026-01-28T00:00:00"/>
    <s v="Debit Card"/>
    <s v="Average"/>
    <n v="2023"/>
    <d v="2023-05-14T00:00:00"/>
  </r>
  <r>
    <s v="E011"/>
    <x v="10"/>
    <s v="Sales"/>
    <x v="2"/>
    <x v="0"/>
    <n v="150000"/>
    <n v="5"/>
    <d v="2026-02-02T00:00:00"/>
    <s v="Credit Card"/>
    <s v="Excellent"/>
    <n v="2020"/>
    <d v="2020-01-30T00:00:00"/>
  </r>
  <r>
    <s v="E012"/>
    <x v="11"/>
    <s v="Marketing"/>
    <x v="3"/>
    <x v="2"/>
    <n v="50000"/>
    <n v="6"/>
    <d v="2026-02-05T00:00:00"/>
    <s v="UPI"/>
    <s v="Good"/>
    <n v="2024"/>
    <d v="2024-07-16T00:00:00"/>
  </r>
  <r>
    <s v="E013"/>
    <x v="12"/>
    <s v="Finance"/>
    <x v="0"/>
    <x v="1"/>
    <n v="38000"/>
    <n v="4"/>
    <d v="2026-02-08T00:00:00"/>
    <s v="Cash"/>
    <s v="Average"/>
    <n v="2026"/>
    <d v="2026-03-03T00:00:00"/>
  </r>
  <r>
    <s v="E014"/>
    <x v="13"/>
    <s v="Sales"/>
    <x v="1"/>
    <x v="0"/>
    <n v="105000"/>
    <n v="3"/>
    <d v="2026-02-11T00:00:00"/>
    <s v="UPI"/>
    <s v="Excellent"/>
    <n v="2023"/>
    <d v="2023-10-21T00:00:00"/>
  </r>
  <r>
    <s v="E015"/>
    <x v="14"/>
    <s v="HR"/>
    <x v="2"/>
    <x v="2"/>
    <n v="33000"/>
    <n v="3"/>
    <d v="2026-02-14T00:00:00"/>
    <s v="Debit Card"/>
    <s v="Good"/>
    <n v="2020"/>
    <d v="2020-09-11T00:00:00"/>
  </r>
  <r>
    <s v="E016"/>
    <x v="15"/>
    <s v="Marketing"/>
    <x v="0"/>
    <x v="1"/>
    <n v="48000"/>
    <n v="5"/>
    <d v="2026-02-17T00:00:00"/>
    <s v="Credit Card"/>
    <s v="Good"/>
    <n v="2024"/>
    <d v="2024-04-27T00:00:00"/>
  </r>
  <r>
    <s v="E017"/>
    <x v="16"/>
    <s v="Sales"/>
    <x v="3"/>
    <x v="0"/>
    <n v="88000"/>
    <n v="2"/>
    <d v="2026-02-20T00:00:00"/>
    <s v="UPI"/>
    <s v="Excellent"/>
    <n v="2023"/>
    <d v="2023-06-06T00:00:00"/>
  </r>
  <r>
    <s v="E018"/>
    <x v="17"/>
    <s v="Finance"/>
    <x v="1"/>
    <x v="2"/>
    <n v="26000"/>
    <n v="2"/>
    <d v="2026-02-23T00:00:00"/>
    <s v="Cash"/>
    <s v="Average"/>
    <n v="2020"/>
    <d v="2020-12-19T00:00:00"/>
  </r>
  <r>
    <s v="E019"/>
    <x v="18"/>
    <s v="Sales"/>
    <x v="2"/>
    <x v="1"/>
    <n v="61000"/>
    <n v="7"/>
    <d v="2026-02-25T00:00:00"/>
    <s v="Debit Card"/>
    <s v="Good"/>
    <n v="2026"/>
    <d v="2026-04-15T00:00:00"/>
  </r>
  <r>
    <s v="E020"/>
    <x v="19"/>
    <s v="Marketing"/>
    <x v="3"/>
    <x v="0"/>
    <n v="132000"/>
    <n v="4"/>
    <d v="2026-02-28T00:00:00"/>
    <s v="UPI"/>
    <s v="Excellent"/>
    <n v="2024"/>
    <d v="2024-10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42491-3021-4713-B202-DAB89CED0A39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74:C90" firstHeaderRow="1" firstDataRow="1" firstDataCol="1"/>
  <pivotFields count="12">
    <pivotField showAll="0"/>
    <pivotField showAll="0"/>
    <pivotField showAll="0"/>
    <pivotField axis="axisRow" multipleItemSelectionAllowed="1" showAll="0">
      <items count="5">
        <item x="2"/>
        <item x="0"/>
        <item x="1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2">
    <field x="4"/>
    <field x="3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09FE20-692F-4208-B6D6-BB2FD2354061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12">
    <pivotField showAll="0"/>
    <pivotField showAll="0"/>
    <pivotField showAll="0"/>
    <pivotField axis="axisRow" multipleItemSelectionAllowed="1" showAll="0">
      <items count="5">
        <item x="2"/>
        <item x="0"/>
        <item x="1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2">
    <field x="4"/>
    <field x="3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F8507-4D68-4FE8-886A-7AEA58EC63B9}" name="PivotTable17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B24" firstHeaderRow="1" firstDataRow="1" firstDataCol="1"/>
  <pivotFields count="12">
    <pivotField showAll="0"/>
    <pivotField axis="axisRow" showAll="0" sortType="descending">
      <items count="21">
        <item x="6"/>
        <item x="17"/>
        <item x="3"/>
        <item x="12"/>
        <item x="8"/>
        <item x="0"/>
        <item x="1"/>
        <item x="11"/>
        <item x="19"/>
        <item x="14"/>
        <item x="9"/>
        <item x="16"/>
        <item x="4"/>
        <item x="13"/>
        <item x="18"/>
        <item x="7"/>
        <item x="2"/>
        <item x="5"/>
        <item x="10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 sortType="ascending">
      <items count="5">
        <item x="2"/>
        <item x="0"/>
        <item x="1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1"/>
  </rowFields>
  <rowItems count="21">
    <i>
      <x v="18"/>
    </i>
    <i>
      <x v="8"/>
    </i>
    <i>
      <x/>
    </i>
    <i>
      <x v="13"/>
    </i>
    <i>
      <x v="2"/>
    </i>
    <i>
      <x v="11"/>
    </i>
    <i>
      <x v="5"/>
    </i>
    <i>
      <x v="14"/>
    </i>
    <i>
      <x v="12"/>
    </i>
    <i>
      <x v="7"/>
    </i>
    <i>
      <x v="19"/>
    </i>
    <i>
      <x v="6"/>
    </i>
    <i>
      <x v="4"/>
    </i>
    <i>
      <x v="3"/>
    </i>
    <i>
      <x v="16"/>
    </i>
    <i>
      <x v="9"/>
    </i>
    <i>
      <x v="15"/>
    </i>
    <i>
      <x v="17"/>
    </i>
    <i>
      <x v="10"/>
    </i>
    <i>
      <x v="1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C7755-BA72-4491-B9B5-45C9D5C5AB9B}" name="PivotTable1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12"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  <pivotField showAll="0"/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3D72D-1866-472F-B00C-2EC7B91E2EE4}" name="PivotTable1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2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4CE962-8507-4068-94D8-D97F081F2823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24" firstHeaderRow="1" firstDataRow="1" firstDataCol="1"/>
  <pivotFields count="12">
    <pivotField showAll="0"/>
    <pivotField axis="axisRow" showAll="0">
      <items count="21">
        <item x="15"/>
        <item x="10"/>
        <item x="5"/>
        <item x="2"/>
        <item x="7"/>
        <item x="18"/>
        <item x="13"/>
        <item x="4"/>
        <item x="16"/>
        <item x="9"/>
        <item x="14"/>
        <item x="19"/>
        <item x="11"/>
        <item x="1"/>
        <item x="0"/>
        <item x="8"/>
        <item x="12"/>
        <item x="3"/>
        <item x="17"/>
        <item x="6"/>
        <item t="default"/>
      </items>
    </pivotField>
    <pivotField showAll="0"/>
    <pivotField showAll="0"/>
    <pivotField showAll="0"/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03664-C5B9-4B36-BC6A-4BF669671340}" name="PivotTable18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J85:K106" firstHeaderRow="1" firstDataRow="1" firstDataCol="1"/>
  <pivotFields count="12">
    <pivotField showAll="0"/>
    <pivotField axis="axisRow" showAll="0" sortType="descending">
      <items count="21">
        <item x="6"/>
        <item x="17"/>
        <item x="3"/>
        <item x="12"/>
        <item x="8"/>
        <item x="0"/>
        <item x="1"/>
        <item x="11"/>
        <item x="19"/>
        <item x="14"/>
        <item x="9"/>
        <item x="16"/>
        <item x="4"/>
        <item x="13"/>
        <item x="18"/>
        <item x="7"/>
        <item x="2"/>
        <item x="5"/>
        <item x="10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 sortType="ascending">
      <items count="5">
        <item x="2"/>
        <item x="0"/>
        <item x="1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1"/>
  </rowFields>
  <rowItems count="21">
    <i>
      <x v="18"/>
    </i>
    <i>
      <x v="8"/>
    </i>
    <i>
      <x/>
    </i>
    <i>
      <x v="13"/>
    </i>
    <i>
      <x v="2"/>
    </i>
    <i>
      <x v="11"/>
    </i>
    <i>
      <x v="5"/>
    </i>
    <i>
      <x v="14"/>
    </i>
    <i>
      <x v="12"/>
    </i>
    <i>
      <x v="7"/>
    </i>
    <i>
      <x v="19"/>
    </i>
    <i>
      <x v="6"/>
    </i>
    <i>
      <x v="4"/>
    </i>
    <i>
      <x v="3"/>
    </i>
    <i>
      <x v="16"/>
    </i>
    <i>
      <x v="9"/>
    </i>
    <i>
      <x v="15"/>
    </i>
    <i>
      <x v="17"/>
    </i>
    <i>
      <x v="10"/>
    </i>
    <i>
      <x v="1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4"/>
  <sheetViews>
    <sheetView tabSelected="1" workbookViewId="0">
      <selection activeCell="B148" sqref="B148"/>
    </sheetView>
  </sheetViews>
  <sheetFormatPr defaultRowHeight="14.5"/>
  <cols>
    <col min="2" max="2" width="13.6328125" customWidth="1"/>
    <col min="3" max="3" width="15.54296875" customWidth="1"/>
    <col min="4" max="4" width="12.54296875" customWidth="1"/>
    <col min="7" max="7" width="15.90625" customWidth="1"/>
    <col min="8" max="8" width="14.36328125" customWidth="1"/>
    <col min="9" max="9" width="15.36328125" customWidth="1"/>
    <col min="10" max="10" width="19.453125" customWidth="1"/>
    <col min="11" max="11" width="17.453125" customWidth="1"/>
    <col min="12" max="12" width="18.81640625" customWidth="1"/>
    <col min="13" max="13" width="14.6328125" customWidth="1"/>
  </cols>
  <sheetData>
    <row r="2" spans="2:13" ht="31">
      <c r="B2" s="3" t="s">
        <v>0</v>
      </c>
    </row>
    <row r="4" spans="2:13" ht="17.5">
      <c r="B4" s="2" t="s">
        <v>64</v>
      </c>
    </row>
    <row r="6" spans="2:13" ht="17.5">
      <c r="B6" s="2" t="s">
        <v>1</v>
      </c>
    </row>
    <row r="8" spans="2:13">
      <c r="B8" t="s">
        <v>2</v>
      </c>
    </row>
    <row r="10" spans="2:13">
      <c r="B10" t="s">
        <v>3</v>
      </c>
    </row>
    <row r="12" spans="2:13" ht="29">
      <c r="B12" s="10" t="s">
        <v>65</v>
      </c>
      <c r="C12" s="10" t="s">
        <v>16</v>
      </c>
      <c r="D12" s="10" t="s">
        <v>17</v>
      </c>
      <c r="E12" s="10" t="s">
        <v>18</v>
      </c>
      <c r="F12" s="10" t="s">
        <v>66</v>
      </c>
      <c r="G12" s="11" t="s">
        <v>19</v>
      </c>
      <c r="H12" s="11" t="s">
        <v>67</v>
      </c>
      <c r="I12" s="10" t="s">
        <v>68</v>
      </c>
      <c r="J12" s="10" t="s">
        <v>69</v>
      </c>
      <c r="K12" s="10" t="s">
        <v>20</v>
      </c>
      <c r="L12" s="11" t="s">
        <v>70</v>
      </c>
      <c r="M12" s="10" t="s">
        <v>71</v>
      </c>
    </row>
    <row r="13" spans="2:13">
      <c r="B13" s="7" t="s">
        <v>72</v>
      </c>
      <c r="C13" s="7" t="s">
        <v>73</v>
      </c>
      <c r="D13" s="7" t="s">
        <v>74</v>
      </c>
      <c r="E13" s="7" t="s">
        <v>75</v>
      </c>
      <c r="F13" s="7" t="s">
        <v>76</v>
      </c>
      <c r="G13" s="8">
        <v>75000</v>
      </c>
      <c r="H13" s="8">
        <v>3</v>
      </c>
      <c r="I13" s="9">
        <v>46027</v>
      </c>
      <c r="J13" s="7" t="s">
        <v>77</v>
      </c>
      <c r="K13" s="7" t="s">
        <v>78</v>
      </c>
      <c r="L13" s="8">
        <v>2024</v>
      </c>
      <c r="M13" s="9">
        <v>45458</v>
      </c>
    </row>
    <row r="14" spans="2:13">
      <c r="B14" s="7" t="s">
        <v>79</v>
      </c>
      <c r="C14" s="7" t="s">
        <v>80</v>
      </c>
      <c r="D14" s="7" t="s">
        <v>81</v>
      </c>
      <c r="E14" s="7" t="s">
        <v>82</v>
      </c>
      <c r="F14" s="7" t="s">
        <v>83</v>
      </c>
      <c r="G14" s="8">
        <v>45000</v>
      </c>
      <c r="H14" s="8">
        <v>5</v>
      </c>
      <c r="I14" s="9">
        <v>46029</v>
      </c>
      <c r="J14" s="7" t="s">
        <v>84</v>
      </c>
      <c r="K14" s="7" t="s">
        <v>85</v>
      </c>
      <c r="L14" s="8">
        <v>2023</v>
      </c>
      <c r="M14" s="9">
        <v>45148</v>
      </c>
    </row>
    <row r="15" spans="2:13">
      <c r="B15" s="7" t="s">
        <v>86</v>
      </c>
      <c r="C15" s="7" t="s">
        <v>87</v>
      </c>
      <c r="D15" s="7" t="s">
        <v>74</v>
      </c>
      <c r="E15" s="7" t="s">
        <v>88</v>
      </c>
      <c r="F15" s="7" t="s">
        <v>89</v>
      </c>
      <c r="G15" s="8">
        <v>36000</v>
      </c>
      <c r="H15" s="8">
        <v>4</v>
      </c>
      <c r="I15" s="9">
        <v>46032</v>
      </c>
      <c r="J15" s="7" t="s">
        <v>90</v>
      </c>
      <c r="K15" s="7" t="s">
        <v>91</v>
      </c>
      <c r="L15" s="8">
        <v>2020</v>
      </c>
      <c r="M15" s="9">
        <v>43883</v>
      </c>
    </row>
    <row r="16" spans="2:13">
      <c r="B16" s="7" t="s">
        <v>92</v>
      </c>
      <c r="C16" s="7" t="s">
        <v>93</v>
      </c>
      <c r="D16" s="7" t="s">
        <v>94</v>
      </c>
      <c r="E16" s="7" t="s">
        <v>95</v>
      </c>
      <c r="F16" s="7" t="s">
        <v>76</v>
      </c>
      <c r="G16" s="8">
        <v>90000</v>
      </c>
      <c r="H16" s="8">
        <v>2</v>
      </c>
      <c r="I16" s="9">
        <v>46034</v>
      </c>
      <c r="J16" s="7" t="s">
        <v>77</v>
      </c>
      <c r="K16" s="7" t="s">
        <v>78</v>
      </c>
      <c r="L16" s="8">
        <v>2026</v>
      </c>
      <c r="M16" s="9">
        <v>46027</v>
      </c>
    </row>
    <row r="17" spans="2:13">
      <c r="B17" s="7" t="s">
        <v>96</v>
      </c>
      <c r="C17" s="7" t="s">
        <v>97</v>
      </c>
      <c r="D17" s="7" t="s">
        <v>74</v>
      </c>
      <c r="E17" s="7" t="s">
        <v>82</v>
      </c>
      <c r="F17" s="7" t="s">
        <v>83</v>
      </c>
      <c r="G17" s="8">
        <v>54000</v>
      </c>
      <c r="H17" s="8">
        <v>6</v>
      </c>
      <c r="I17" s="9">
        <v>46037</v>
      </c>
      <c r="J17" s="7" t="s">
        <v>98</v>
      </c>
      <c r="K17" s="7" t="s">
        <v>85</v>
      </c>
      <c r="L17" s="8">
        <v>2024</v>
      </c>
      <c r="M17" s="9">
        <v>45553</v>
      </c>
    </row>
    <row r="18" spans="2:13">
      <c r="B18" s="7" t="s">
        <v>99</v>
      </c>
      <c r="C18" s="7" t="s">
        <v>100</v>
      </c>
      <c r="D18" s="7" t="s">
        <v>101</v>
      </c>
      <c r="E18" s="7" t="s">
        <v>75</v>
      </c>
      <c r="F18" s="7" t="s">
        <v>89</v>
      </c>
      <c r="G18" s="8">
        <v>28000</v>
      </c>
      <c r="H18" s="8">
        <v>3</v>
      </c>
      <c r="I18" s="9">
        <v>46040</v>
      </c>
      <c r="J18" s="7" t="s">
        <v>77</v>
      </c>
      <c r="K18" s="7" t="s">
        <v>91</v>
      </c>
      <c r="L18" s="8">
        <v>2023</v>
      </c>
      <c r="M18" s="9">
        <v>45010</v>
      </c>
    </row>
    <row r="19" spans="2:13">
      <c r="B19" s="7" t="s">
        <v>102</v>
      </c>
      <c r="C19" s="7" t="s">
        <v>103</v>
      </c>
      <c r="D19" s="7" t="s">
        <v>81</v>
      </c>
      <c r="E19" s="7" t="s">
        <v>88</v>
      </c>
      <c r="F19" s="7" t="s">
        <v>76</v>
      </c>
      <c r="G19" s="8">
        <v>120000</v>
      </c>
      <c r="H19" s="8">
        <v>4</v>
      </c>
      <c r="I19" s="9">
        <v>46042</v>
      </c>
      <c r="J19" s="7" t="s">
        <v>84</v>
      </c>
      <c r="K19" s="7" t="s">
        <v>78</v>
      </c>
      <c r="L19" s="8">
        <v>2020</v>
      </c>
      <c r="M19" s="9">
        <v>44024</v>
      </c>
    </row>
    <row r="20" spans="2:13">
      <c r="B20" s="7" t="s">
        <v>104</v>
      </c>
      <c r="C20" s="7" t="s">
        <v>105</v>
      </c>
      <c r="D20" s="7" t="s">
        <v>74</v>
      </c>
      <c r="E20" s="7" t="s">
        <v>95</v>
      </c>
      <c r="F20" s="7" t="s">
        <v>83</v>
      </c>
      <c r="G20" s="8">
        <v>32000</v>
      </c>
      <c r="H20" s="8">
        <v>4</v>
      </c>
      <c r="I20" s="9">
        <v>46045</v>
      </c>
      <c r="J20" s="7" t="s">
        <v>90</v>
      </c>
      <c r="K20" s="7" t="s">
        <v>85</v>
      </c>
      <c r="L20" s="8">
        <v>2026</v>
      </c>
      <c r="M20" s="9">
        <v>46073</v>
      </c>
    </row>
    <row r="21" spans="2:13">
      <c r="B21" s="7" t="s">
        <v>106</v>
      </c>
      <c r="C21" s="7" t="s">
        <v>107</v>
      </c>
      <c r="D21" s="7" t="s">
        <v>101</v>
      </c>
      <c r="E21" s="7" t="s">
        <v>82</v>
      </c>
      <c r="F21" s="7" t="s">
        <v>89</v>
      </c>
      <c r="G21" s="8">
        <v>42000</v>
      </c>
      <c r="H21" s="8">
        <v>5</v>
      </c>
      <c r="I21" s="9">
        <v>46047</v>
      </c>
      <c r="J21" s="7" t="s">
        <v>77</v>
      </c>
      <c r="K21" s="7" t="s">
        <v>85</v>
      </c>
      <c r="L21" s="8">
        <v>2024</v>
      </c>
      <c r="M21" s="9">
        <v>45604</v>
      </c>
    </row>
    <row r="22" spans="2:13">
      <c r="B22" s="7" t="s">
        <v>108</v>
      </c>
      <c r="C22" s="7" t="s">
        <v>109</v>
      </c>
      <c r="D22" s="7" t="s">
        <v>94</v>
      </c>
      <c r="E22" s="7" t="s">
        <v>75</v>
      </c>
      <c r="F22" s="7" t="s">
        <v>83</v>
      </c>
      <c r="G22" s="8">
        <v>27000</v>
      </c>
      <c r="H22" s="8">
        <v>3</v>
      </c>
      <c r="I22" s="9">
        <v>46050</v>
      </c>
      <c r="J22" s="7" t="s">
        <v>98</v>
      </c>
      <c r="K22" s="7" t="s">
        <v>91</v>
      </c>
      <c r="L22" s="8">
        <v>2023</v>
      </c>
      <c r="M22" s="9">
        <v>45060</v>
      </c>
    </row>
    <row r="23" spans="2:13">
      <c r="B23" s="7" t="s">
        <v>110</v>
      </c>
      <c r="C23" s="7" t="s">
        <v>111</v>
      </c>
      <c r="D23" s="7" t="s">
        <v>74</v>
      </c>
      <c r="E23" s="7" t="s">
        <v>88</v>
      </c>
      <c r="F23" s="7" t="s">
        <v>76</v>
      </c>
      <c r="G23" s="8">
        <v>150000</v>
      </c>
      <c r="H23" s="8">
        <v>5</v>
      </c>
      <c r="I23" s="9">
        <v>46055</v>
      </c>
      <c r="J23" s="7" t="s">
        <v>84</v>
      </c>
      <c r="K23" s="7" t="s">
        <v>78</v>
      </c>
      <c r="L23" s="8">
        <v>2020</v>
      </c>
      <c r="M23" s="9">
        <v>43860</v>
      </c>
    </row>
    <row r="24" spans="2:13">
      <c r="B24" s="7" t="s">
        <v>112</v>
      </c>
      <c r="C24" s="7" t="s">
        <v>113</v>
      </c>
      <c r="D24" s="7" t="s">
        <v>81</v>
      </c>
      <c r="E24" s="7" t="s">
        <v>95</v>
      </c>
      <c r="F24" s="7" t="s">
        <v>89</v>
      </c>
      <c r="G24" s="8">
        <v>50000</v>
      </c>
      <c r="H24" s="8">
        <v>6</v>
      </c>
      <c r="I24" s="9">
        <v>46058</v>
      </c>
      <c r="J24" s="7" t="s">
        <v>77</v>
      </c>
      <c r="K24" s="7" t="s">
        <v>85</v>
      </c>
      <c r="L24" s="8">
        <v>2024</v>
      </c>
      <c r="M24" s="9">
        <v>45489</v>
      </c>
    </row>
    <row r="25" spans="2:13">
      <c r="B25" s="7" t="s">
        <v>114</v>
      </c>
      <c r="C25" s="7" t="s">
        <v>115</v>
      </c>
      <c r="D25" s="7" t="s">
        <v>101</v>
      </c>
      <c r="E25" s="7" t="s">
        <v>75</v>
      </c>
      <c r="F25" s="7" t="s">
        <v>83</v>
      </c>
      <c r="G25" s="8">
        <v>38000</v>
      </c>
      <c r="H25" s="8">
        <v>4</v>
      </c>
      <c r="I25" s="9">
        <v>46061</v>
      </c>
      <c r="J25" s="7" t="s">
        <v>90</v>
      </c>
      <c r="K25" s="7" t="s">
        <v>91</v>
      </c>
      <c r="L25" s="8">
        <v>2026</v>
      </c>
      <c r="M25" s="9">
        <v>46084</v>
      </c>
    </row>
    <row r="26" spans="2:13">
      <c r="B26" s="7" t="s">
        <v>116</v>
      </c>
      <c r="C26" s="7" t="s">
        <v>117</v>
      </c>
      <c r="D26" s="7" t="s">
        <v>74</v>
      </c>
      <c r="E26" s="7" t="s">
        <v>82</v>
      </c>
      <c r="F26" s="7" t="s">
        <v>76</v>
      </c>
      <c r="G26" s="8">
        <v>105000</v>
      </c>
      <c r="H26" s="8">
        <v>3</v>
      </c>
      <c r="I26" s="9">
        <v>46064</v>
      </c>
      <c r="J26" s="7" t="s">
        <v>77</v>
      </c>
      <c r="K26" s="7" t="s">
        <v>78</v>
      </c>
      <c r="L26" s="8">
        <v>2023</v>
      </c>
      <c r="M26" s="9">
        <v>45220</v>
      </c>
    </row>
    <row r="27" spans="2:13">
      <c r="B27" s="7" t="s">
        <v>118</v>
      </c>
      <c r="C27" s="7" t="s">
        <v>119</v>
      </c>
      <c r="D27" s="7" t="s">
        <v>94</v>
      </c>
      <c r="E27" s="7" t="s">
        <v>88</v>
      </c>
      <c r="F27" s="7" t="s">
        <v>89</v>
      </c>
      <c r="G27" s="8">
        <v>33000</v>
      </c>
      <c r="H27" s="8">
        <v>3</v>
      </c>
      <c r="I27" s="9">
        <v>46067</v>
      </c>
      <c r="J27" s="7" t="s">
        <v>98</v>
      </c>
      <c r="K27" s="7" t="s">
        <v>85</v>
      </c>
      <c r="L27" s="8">
        <v>2020</v>
      </c>
      <c r="M27" s="9">
        <v>44085</v>
      </c>
    </row>
    <row r="28" spans="2:13">
      <c r="B28" s="7" t="s">
        <v>120</v>
      </c>
      <c r="C28" s="7" t="s">
        <v>121</v>
      </c>
      <c r="D28" s="7" t="s">
        <v>81</v>
      </c>
      <c r="E28" s="7" t="s">
        <v>75</v>
      </c>
      <c r="F28" s="7" t="s">
        <v>83</v>
      </c>
      <c r="G28" s="8">
        <v>48000</v>
      </c>
      <c r="H28" s="8">
        <v>5</v>
      </c>
      <c r="I28" s="9">
        <v>46070</v>
      </c>
      <c r="J28" s="7" t="s">
        <v>84</v>
      </c>
      <c r="K28" s="7" t="s">
        <v>85</v>
      </c>
      <c r="L28" s="8">
        <v>2024</v>
      </c>
      <c r="M28" s="9">
        <v>45409</v>
      </c>
    </row>
    <row r="29" spans="2:13">
      <c r="B29" s="7" t="s">
        <v>122</v>
      </c>
      <c r="C29" s="7" t="s">
        <v>123</v>
      </c>
      <c r="D29" s="7" t="s">
        <v>74</v>
      </c>
      <c r="E29" s="7" t="s">
        <v>95</v>
      </c>
      <c r="F29" s="7" t="s">
        <v>76</v>
      </c>
      <c r="G29" s="8">
        <v>88000</v>
      </c>
      <c r="H29" s="8">
        <v>2</v>
      </c>
      <c r="I29" s="9">
        <v>46073</v>
      </c>
      <c r="J29" s="7" t="s">
        <v>77</v>
      </c>
      <c r="K29" s="7" t="s">
        <v>78</v>
      </c>
      <c r="L29" s="8">
        <v>2023</v>
      </c>
      <c r="M29" s="9">
        <v>45083</v>
      </c>
    </row>
    <row r="30" spans="2:13">
      <c r="B30" s="7" t="s">
        <v>124</v>
      </c>
      <c r="C30" s="7" t="s">
        <v>125</v>
      </c>
      <c r="D30" s="7" t="s">
        <v>101</v>
      </c>
      <c r="E30" s="7" t="s">
        <v>82</v>
      </c>
      <c r="F30" s="7" t="s">
        <v>89</v>
      </c>
      <c r="G30" s="8">
        <v>26000</v>
      </c>
      <c r="H30" s="8">
        <v>2</v>
      </c>
      <c r="I30" s="9">
        <v>46076</v>
      </c>
      <c r="J30" s="7" t="s">
        <v>90</v>
      </c>
      <c r="K30" s="7" t="s">
        <v>91</v>
      </c>
      <c r="L30" s="8">
        <v>2020</v>
      </c>
      <c r="M30" s="9">
        <v>44184</v>
      </c>
    </row>
    <row r="31" spans="2:13">
      <c r="B31" s="7" t="s">
        <v>126</v>
      </c>
      <c r="C31" s="7" t="s">
        <v>127</v>
      </c>
      <c r="D31" s="7" t="s">
        <v>74</v>
      </c>
      <c r="E31" s="7" t="s">
        <v>88</v>
      </c>
      <c r="F31" s="7" t="s">
        <v>83</v>
      </c>
      <c r="G31" s="8">
        <v>61000</v>
      </c>
      <c r="H31" s="8">
        <v>7</v>
      </c>
      <c r="I31" s="9">
        <v>46078</v>
      </c>
      <c r="J31" s="7" t="s">
        <v>98</v>
      </c>
      <c r="K31" s="7" t="s">
        <v>85</v>
      </c>
      <c r="L31" s="8">
        <v>2026</v>
      </c>
      <c r="M31" s="9">
        <v>46127</v>
      </c>
    </row>
    <row r="32" spans="2:13">
      <c r="B32" s="7" t="s">
        <v>128</v>
      </c>
      <c r="C32" s="7" t="s">
        <v>129</v>
      </c>
      <c r="D32" s="7" t="s">
        <v>81</v>
      </c>
      <c r="E32" s="7" t="s">
        <v>95</v>
      </c>
      <c r="F32" s="7" t="s">
        <v>76</v>
      </c>
      <c r="G32" s="8">
        <v>132000</v>
      </c>
      <c r="H32" s="8">
        <v>4</v>
      </c>
      <c r="I32" s="9">
        <v>46081</v>
      </c>
      <c r="J32" s="7" t="s">
        <v>77</v>
      </c>
      <c r="K32" s="7" t="s">
        <v>78</v>
      </c>
      <c r="L32" s="8">
        <v>2024</v>
      </c>
      <c r="M32" s="9">
        <v>45574</v>
      </c>
    </row>
    <row r="34" spans="2:2" ht="23.5">
      <c r="B34" s="4" t="s">
        <v>4</v>
      </c>
    </row>
    <row r="36" spans="2:2">
      <c r="B36" t="s">
        <v>5</v>
      </c>
    </row>
    <row r="38" spans="2:2">
      <c r="B38" t="s">
        <v>6</v>
      </c>
    </row>
    <row r="39" spans="2:2">
      <c r="B39" s="1"/>
    </row>
    <row r="40" spans="2:2">
      <c r="B40" s="5" t="s">
        <v>7</v>
      </c>
    </row>
    <row r="41" spans="2:2">
      <c r="B41" s="1"/>
    </row>
    <row r="42" spans="2:2">
      <c r="B42" s="5" t="s">
        <v>8</v>
      </c>
    </row>
    <row r="43" spans="2:2">
      <c r="B43" s="1"/>
    </row>
    <row r="44" spans="2:2">
      <c r="B44" s="5" t="s">
        <v>9</v>
      </c>
    </row>
    <row r="45" spans="2:2">
      <c r="B45" s="1"/>
    </row>
    <row r="46" spans="2:2">
      <c r="B46" s="5" t="s">
        <v>10</v>
      </c>
    </row>
    <row r="48" spans="2:2">
      <c r="B48" t="s">
        <v>11</v>
      </c>
    </row>
    <row r="49" spans="2:2">
      <c r="B49" s="1"/>
    </row>
    <row r="50" spans="2:2">
      <c r="B50" s="1" t="s">
        <v>12</v>
      </c>
    </row>
    <row r="54" spans="2:2" ht="23.5">
      <c r="B54" s="4" t="s">
        <v>13</v>
      </c>
    </row>
    <row r="56" spans="2:2">
      <c r="B56" t="s">
        <v>14</v>
      </c>
    </row>
    <row r="58" spans="2:2">
      <c r="B58" t="s">
        <v>15</v>
      </c>
    </row>
    <row r="59" spans="2:2">
      <c r="B59" s="1"/>
    </row>
    <row r="60" spans="2:2">
      <c r="B60" s="1" t="s">
        <v>16</v>
      </c>
    </row>
    <row r="61" spans="2:2">
      <c r="B61" s="1"/>
    </row>
    <row r="62" spans="2:2">
      <c r="B62" s="1" t="s">
        <v>17</v>
      </c>
    </row>
    <row r="63" spans="2:2">
      <c r="B63" s="1"/>
    </row>
    <row r="64" spans="2:2">
      <c r="B64" s="1" t="s">
        <v>18</v>
      </c>
    </row>
    <row r="65" spans="2:2">
      <c r="B65" s="1"/>
    </row>
    <row r="66" spans="2:2">
      <c r="B66" s="1" t="s">
        <v>19</v>
      </c>
    </row>
    <row r="67" spans="2:2">
      <c r="B67" s="1"/>
    </row>
    <row r="68" spans="2:2">
      <c r="B68" s="1" t="s">
        <v>20</v>
      </c>
    </row>
    <row r="70" spans="2:2">
      <c r="B70" t="s">
        <v>21</v>
      </c>
    </row>
    <row r="74" spans="2:2" ht="23.5">
      <c r="B74" s="4" t="s">
        <v>22</v>
      </c>
    </row>
    <row r="76" spans="2:2">
      <c r="B76" t="s">
        <v>23</v>
      </c>
    </row>
    <row r="77" spans="2:2">
      <c r="B77" s="1"/>
    </row>
    <row r="78" spans="2:2">
      <c r="B78" s="1" t="s">
        <v>24</v>
      </c>
    </row>
    <row r="79" spans="2:2">
      <c r="B79" s="1"/>
    </row>
    <row r="80" spans="2:2">
      <c r="B80" s="1" t="s">
        <v>25</v>
      </c>
    </row>
    <row r="81" spans="2:2">
      <c r="B81" s="1"/>
    </row>
    <row r="82" spans="2:2">
      <c r="B82" s="1" t="s">
        <v>26</v>
      </c>
    </row>
    <row r="84" spans="2:2">
      <c r="B84" t="s">
        <v>27</v>
      </c>
    </row>
    <row r="85" spans="2:2">
      <c r="B85" s="1"/>
    </row>
    <row r="86" spans="2:2">
      <c r="B86" s="1" t="s">
        <v>28</v>
      </c>
    </row>
    <row r="87" spans="2:2">
      <c r="B87" s="1"/>
    </row>
    <row r="88" spans="2:2">
      <c r="B88" s="1" t="s">
        <v>29</v>
      </c>
    </row>
    <row r="89" spans="2:2">
      <c r="B89" s="1"/>
    </row>
    <row r="90" spans="2:2">
      <c r="B90" s="1" t="s">
        <v>30</v>
      </c>
    </row>
    <row r="92" spans="2:2">
      <c r="B92" t="s">
        <v>31</v>
      </c>
    </row>
    <row r="96" spans="2:2" ht="23.5">
      <c r="B96" s="4" t="s">
        <v>32</v>
      </c>
    </row>
    <row r="98" spans="2:2">
      <c r="B98" t="s">
        <v>33</v>
      </c>
    </row>
    <row r="100" spans="2:2">
      <c r="B100" t="s">
        <v>34</v>
      </c>
    </row>
    <row r="101" spans="2:2">
      <c r="B101" s="1"/>
    </row>
    <row r="102" spans="2:2">
      <c r="B102" s="1" t="s">
        <v>35</v>
      </c>
    </row>
    <row r="104" spans="2:2">
      <c r="B104" t="s">
        <v>36</v>
      </c>
    </row>
    <row r="105" spans="2:2">
      <c r="B105" s="1"/>
    </row>
    <row r="106" spans="2:2">
      <c r="B106" s="1" t="s">
        <v>37</v>
      </c>
    </row>
    <row r="107" spans="2:2">
      <c r="B107" s="1"/>
    </row>
    <row r="108" spans="2:2">
      <c r="B108" s="1" t="s">
        <v>38</v>
      </c>
    </row>
    <row r="109" spans="2:2">
      <c r="B109" s="1"/>
    </row>
    <row r="110" spans="2:2">
      <c r="B110" s="1" t="s">
        <v>39</v>
      </c>
    </row>
    <row r="111" spans="2:2">
      <c r="B111" s="1"/>
    </row>
    <row r="112" spans="2:2">
      <c r="B112" s="1" t="s">
        <v>40</v>
      </c>
    </row>
    <row r="116" spans="2:2" ht="23.5">
      <c r="B116" s="4" t="s">
        <v>41</v>
      </c>
    </row>
    <row r="118" spans="2:2">
      <c r="B118" t="s">
        <v>42</v>
      </c>
    </row>
    <row r="120" spans="2:2">
      <c r="B120" t="s">
        <v>43</v>
      </c>
    </row>
    <row r="121" spans="2:2">
      <c r="B121" s="1"/>
    </row>
    <row r="122" spans="2:2">
      <c r="B122" s="1" t="s">
        <v>44</v>
      </c>
    </row>
    <row r="123" spans="2:2">
      <c r="B123" s="1"/>
    </row>
    <row r="124" spans="2:2">
      <c r="B124" s="1" t="s">
        <v>45</v>
      </c>
    </row>
    <row r="125" spans="2:2">
      <c r="B125" s="1"/>
    </row>
    <row r="126" spans="2:2">
      <c r="B126" s="1"/>
    </row>
    <row r="127" spans="2:2">
      <c r="B127" s="6"/>
    </row>
    <row r="128" spans="2:2">
      <c r="B128" s="6" t="s">
        <v>46</v>
      </c>
    </row>
    <row r="129" spans="2:2">
      <c r="B129" s="6"/>
    </row>
    <row r="130" spans="2:2">
      <c r="B130" s="6" t="s">
        <v>47</v>
      </c>
    </row>
    <row r="131" spans="2:2">
      <c r="B131" s="6"/>
    </row>
    <row r="132" spans="2:2">
      <c r="B132" s="6" t="s">
        <v>48</v>
      </c>
    </row>
    <row r="133" spans="2:2">
      <c r="B133" s="6"/>
    </row>
    <row r="134" spans="2:2">
      <c r="B134" s="6" t="s">
        <v>49</v>
      </c>
    </row>
    <row r="135" spans="2:2">
      <c r="B135" s="6"/>
    </row>
    <row r="136" spans="2:2">
      <c r="B136" s="6" t="s">
        <v>50</v>
      </c>
    </row>
    <row r="137" spans="2:2">
      <c r="B137" s="1"/>
    </row>
    <row r="138" spans="2:2">
      <c r="B138" s="1" t="s">
        <v>51</v>
      </c>
    </row>
    <row r="140" spans="2:2">
      <c r="B140" t="s">
        <v>52</v>
      </c>
    </row>
    <row r="144" spans="2:2" ht="23.5">
      <c r="B144" s="4" t="s">
        <v>53</v>
      </c>
    </row>
    <row r="146" spans="2:2">
      <c r="B146" t="s">
        <v>54</v>
      </c>
    </row>
    <row r="147" spans="2:2">
      <c r="B147" s="1"/>
    </row>
    <row r="148" spans="2:2">
      <c r="B148" s="5" t="s">
        <v>55</v>
      </c>
    </row>
    <row r="150" spans="2:2" ht="17.5">
      <c r="B150" s="2" t="s">
        <v>56</v>
      </c>
    </row>
    <row r="152" spans="2:2">
      <c r="B152" t="s">
        <v>57</v>
      </c>
    </row>
    <row r="153" spans="2:2">
      <c r="B153" s="1"/>
    </row>
    <row r="154" spans="2:2">
      <c r="B154" s="5" t="s">
        <v>58</v>
      </c>
    </row>
    <row r="155" spans="2:2">
      <c r="B155" s="1"/>
    </row>
    <row r="156" spans="2:2">
      <c r="B156" s="5" t="s">
        <v>59</v>
      </c>
    </row>
    <row r="157" spans="2:2">
      <c r="B157" s="1"/>
    </row>
    <row r="158" spans="2:2">
      <c r="B158" s="5" t="s">
        <v>60</v>
      </c>
    </row>
    <row r="159" spans="2:2">
      <c r="B159" s="1"/>
    </row>
    <row r="160" spans="2:2">
      <c r="B160" s="5" t="s">
        <v>61</v>
      </c>
    </row>
    <row r="161" spans="2:2">
      <c r="B161" s="1"/>
    </row>
    <row r="162" spans="2:2">
      <c r="B162" s="5" t="s">
        <v>62</v>
      </c>
    </row>
    <row r="163" spans="2:2">
      <c r="B163" s="1"/>
    </row>
    <row r="164" spans="2:2">
      <c r="B164" s="5" t="s">
        <v>63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B014-3D48-4450-B127-0E4090AF042B}">
  <sheetPr codeName="Sheet10"/>
  <dimension ref="A2:L105"/>
  <sheetViews>
    <sheetView topLeftCell="A46" workbookViewId="0">
      <selection activeCell="A56" sqref="A56:C62"/>
    </sheetView>
  </sheetViews>
  <sheetFormatPr defaultRowHeight="14.5"/>
  <cols>
    <col min="1" max="1" width="10.54296875" customWidth="1"/>
    <col min="2" max="2" width="24.36328125" customWidth="1"/>
    <col min="3" max="3" width="18.54296875" customWidth="1"/>
    <col min="6" max="6" width="9.7265625" customWidth="1"/>
    <col min="8" max="8" width="9.08984375" bestFit="1" customWidth="1"/>
    <col min="9" max="9" width="9.6328125" customWidth="1"/>
    <col min="11" max="11" width="8.7265625" customWidth="1"/>
    <col min="12" max="12" width="9.7265625" bestFit="1" customWidth="1"/>
    <col min="13" max="13" width="9.7265625" customWidth="1"/>
  </cols>
  <sheetData>
    <row r="2" spans="1:12">
      <c r="A2" t="s">
        <v>131</v>
      </c>
    </row>
    <row r="4" spans="1:12" ht="43.5">
      <c r="A4" s="10" t="s">
        <v>65</v>
      </c>
      <c r="B4" s="10" t="s">
        <v>16</v>
      </c>
      <c r="C4" s="10" t="s">
        <v>17</v>
      </c>
      <c r="D4" s="10" t="s">
        <v>18</v>
      </c>
      <c r="E4" s="10" t="s">
        <v>66</v>
      </c>
      <c r="F4" s="11" t="s">
        <v>19</v>
      </c>
      <c r="G4" s="11" t="s">
        <v>67</v>
      </c>
      <c r="H4" s="10" t="s">
        <v>68</v>
      </c>
      <c r="I4" s="10" t="s">
        <v>69</v>
      </c>
      <c r="J4" s="10" t="s">
        <v>20</v>
      </c>
      <c r="K4" s="11" t="s">
        <v>70</v>
      </c>
      <c r="L4" s="10" t="s">
        <v>71</v>
      </c>
    </row>
    <row r="5" spans="1:12">
      <c r="A5" s="7" t="s">
        <v>72</v>
      </c>
      <c r="B5" s="7" t="s">
        <v>73</v>
      </c>
      <c r="C5" s="7" t="s">
        <v>74</v>
      </c>
      <c r="D5" s="7" t="s">
        <v>75</v>
      </c>
      <c r="E5" s="7" t="s">
        <v>76</v>
      </c>
      <c r="F5" s="8">
        <v>75000</v>
      </c>
      <c r="G5" s="8">
        <v>3</v>
      </c>
      <c r="H5" s="9">
        <v>46027</v>
      </c>
      <c r="I5" s="7" t="s">
        <v>77</v>
      </c>
      <c r="J5" s="7" t="s">
        <v>78</v>
      </c>
      <c r="K5" s="8">
        <v>2024</v>
      </c>
      <c r="L5" s="9">
        <v>45458</v>
      </c>
    </row>
    <row r="6" spans="1:12" ht="29">
      <c r="A6" s="7" t="s">
        <v>79</v>
      </c>
      <c r="B6" s="7" t="s">
        <v>80</v>
      </c>
      <c r="C6" s="7" t="s">
        <v>81</v>
      </c>
      <c r="D6" s="7" t="s">
        <v>82</v>
      </c>
      <c r="E6" s="7" t="s">
        <v>83</v>
      </c>
      <c r="F6" s="8">
        <v>45000</v>
      </c>
      <c r="G6" s="8">
        <v>5</v>
      </c>
      <c r="H6" s="9">
        <v>46029</v>
      </c>
      <c r="I6" s="7" t="s">
        <v>84</v>
      </c>
      <c r="J6" s="7" t="s">
        <v>85</v>
      </c>
      <c r="K6" s="8">
        <v>2023</v>
      </c>
      <c r="L6" s="9">
        <v>45148</v>
      </c>
    </row>
    <row r="7" spans="1:12">
      <c r="A7" s="7" t="s">
        <v>86</v>
      </c>
      <c r="B7" s="7" t="s">
        <v>87</v>
      </c>
      <c r="C7" s="7" t="s">
        <v>74</v>
      </c>
      <c r="D7" s="7" t="s">
        <v>88</v>
      </c>
      <c r="E7" s="7" t="s">
        <v>89</v>
      </c>
      <c r="F7" s="8">
        <v>36000</v>
      </c>
      <c r="G7" s="8">
        <v>4</v>
      </c>
      <c r="H7" s="9">
        <v>46032</v>
      </c>
      <c r="I7" s="7" t="s">
        <v>90</v>
      </c>
      <c r="J7" s="7" t="s">
        <v>91</v>
      </c>
      <c r="K7" s="8">
        <v>2020</v>
      </c>
      <c r="L7" s="9">
        <v>43883</v>
      </c>
    </row>
    <row r="8" spans="1:12">
      <c r="A8" s="7" t="s">
        <v>92</v>
      </c>
      <c r="B8" s="7" t="s">
        <v>93</v>
      </c>
      <c r="C8" s="7" t="s">
        <v>94</v>
      </c>
      <c r="D8" s="7" t="s">
        <v>95</v>
      </c>
      <c r="E8" s="7" t="s">
        <v>76</v>
      </c>
      <c r="F8" s="8">
        <v>90000</v>
      </c>
      <c r="G8" s="8">
        <v>2</v>
      </c>
      <c r="H8" s="9">
        <v>46034</v>
      </c>
      <c r="I8" s="7" t="s">
        <v>77</v>
      </c>
      <c r="J8" s="7" t="s">
        <v>78</v>
      </c>
      <c r="K8" s="8">
        <v>2026</v>
      </c>
      <c r="L8" s="9">
        <v>46027</v>
      </c>
    </row>
    <row r="9" spans="1:12">
      <c r="A9" s="7" t="s">
        <v>96</v>
      </c>
      <c r="B9" s="7" t="s">
        <v>97</v>
      </c>
      <c r="C9" s="7" t="s">
        <v>74</v>
      </c>
      <c r="D9" s="7" t="s">
        <v>82</v>
      </c>
      <c r="E9" s="7" t="s">
        <v>83</v>
      </c>
      <c r="F9" s="8">
        <v>54000</v>
      </c>
      <c r="G9" s="8">
        <v>6</v>
      </c>
      <c r="H9" s="9">
        <v>46037</v>
      </c>
      <c r="I9" s="7" t="s">
        <v>98</v>
      </c>
      <c r="J9" s="7" t="s">
        <v>85</v>
      </c>
      <c r="K9" s="8">
        <v>2024</v>
      </c>
      <c r="L9" s="9">
        <v>45553</v>
      </c>
    </row>
    <row r="10" spans="1:12">
      <c r="A10" s="7" t="s">
        <v>99</v>
      </c>
      <c r="B10" s="7" t="s">
        <v>100</v>
      </c>
      <c r="C10" s="7" t="s">
        <v>101</v>
      </c>
      <c r="D10" s="7" t="s">
        <v>75</v>
      </c>
      <c r="E10" s="7" t="s">
        <v>89</v>
      </c>
      <c r="F10" s="8">
        <v>28000</v>
      </c>
      <c r="G10" s="8">
        <v>3</v>
      </c>
      <c r="H10" s="9">
        <v>46040</v>
      </c>
      <c r="I10" s="7" t="s">
        <v>77</v>
      </c>
      <c r="J10" s="7" t="s">
        <v>91</v>
      </c>
      <c r="K10" s="8">
        <v>2023</v>
      </c>
      <c r="L10" s="9">
        <v>45010</v>
      </c>
    </row>
    <row r="11" spans="1:12" ht="29">
      <c r="A11" s="7" t="s">
        <v>102</v>
      </c>
      <c r="B11" s="7" t="s">
        <v>103</v>
      </c>
      <c r="C11" s="7" t="s">
        <v>81</v>
      </c>
      <c r="D11" s="7" t="s">
        <v>88</v>
      </c>
      <c r="E11" s="7" t="s">
        <v>76</v>
      </c>
      <c r="F11" s="8">
        <v>120000</v>
      </c>
      <c r="G11" s="8">
        <v>4</v>
      </c>
      <c r="H11" s="9">
        <v>46042</v>
      </c>
      <c r="I11" s="7" t="s">
        <v>84</v>
      </c>
      <c r="J11" s="7" t="s">
        <v>78</v>
      </c>
      <c r="K11" s="8">
        <v>2020</v>
      </c>
      <c r="L11" s="9">
        <v>44024</v>
      </c>
    </row>
    <row r="12" spans="1:12">
      <c r="A12" s="7" t="s">
        <v>104</v>
      </c>
      <c r="B12" s="7" t="s">
        <v>105</v>
      </c>
      <c r="C12" s="7" t="s">
        <v>74</v>
      </c>
      <c r="D12" s="7" t="s">
        <v>95</v>
      </c>
      <c r="E12" s="7" t="s">
        <v>83</v>
      </c>
      <c r="F12" s="8">
        <v>32000</v>
      </c>
      <c r="G12" s="8">
        <v>4</v>
      </c>
      <c r="H12" s="9">
        <v>46045</v>
      </c>
      <c r="I12" s="7" t="s">
        <v>90</v>
      </c>
      <c r="J12" s="7" t="s">
        <v>85</v>
      </c>
      <c r="K12" s="8">
        <v>2026</v>
      </c>
      <c r="L12" s="9">
        <v>46073</v>
      </c>
    </row>
    <row r="13" spans="1:12">
      <c r="A13" s="7" t="s">
        <v>106</v>
      </c>
      <c r="B13" s="7" t="s">
        <v>107</v>
      </c>
      <c r="C13" s="7" t="s">
        <v>101</v>
      </c>
      <c r="D13" s="7" t="s">
        <v>82</v>
      </c>
      <c r="E13" s="7" t="s">
        <v>89</v>
      </c>
      <c r="F13" s="8">
        <v>42000</v>
      </c>
      <c r="G13" s="8">
        <v>5</v>
      </c>
      <c r="H13" s="9">
        <v>46047</v>
      </c>
      <c r="I13" s="7" t="s">
        <v>77</v>
      </c>
      <c r="J13" s="7" t="s">
        <v>85</v>
      </c>
      <c r="K13" s="8">
        <v>2024</v>
      </c>
      <c r="L13" s="9">
        <v>45604</v>
      </c>
    </row>
    <row r="14" spans="1:12">
      <c r="A14" s="7" t="s">
        <v>108</v>
      </c>
      <c r="B14" s="7" t="s">
        <v>109</v>
      </c>
      <c r="C14" s="7" t="s">
        <v>94</v>
      </c>
      <c r="D14" s="7" t="s">
        <v>75</v>
      </c>
      <c r="E14" s="7" t="s">
        <v>83</v>
      </c>
      <c r="F14" s="8">
        <v>27000</v>
      </c>
      <c r="G14" s="8">
        <v>3</v>
      </c>
      <c r="H14" s="9">
        <v>46050</v>
      </c>
      <c r="I14" s="7" t="s">
        <v>98</v>
      </c>
      <c r="J14" s="7" t="s">
        <v>91</v>
      </c>
      <c r="K14" s="8">
        <v>2023</v>
      </c>
      <c r="L14" s="9">
        <v>45060</v>
      </c>
    </row>
    <row r="15" spans="1:12" ht="29">
      <c r="A15" s="7" t="s">
        <v>110</v>
      </c>
      <c r="B15" s="7" t="s">
        <v>111</v>
      </c>
      <c r="C15" s="7" t="s">
        <v>74</v>
      </c>
      <c r="D15" s="7" t="s">
        <v>88</v>
      </c>
      <c r="E15" s="7" t="s">
        <v>76</v>
      </c>
      <c r="F15" s="8">
        <v>150000</v>
      </c>
      <c r="G15" s="8">
        <v>5</v>
      </c>
      <c r="H15" s="9">
        <v>46055</v>
      </c>
      <c r="I15" s="7" t="s">
        <v>84</v>
      </c>
      <c r="J15" s="7" t="s">
        <v>78</v>
      </c>
      <c r="K15" s="8">
        <v>2020</v>
      </c>
      <c r="L15" s="9">
        <v>43860</v>
      </c>
    </row>
    <row r="16" spans="1:12">
      <c r="A16" s="7" t="s">
        <v>112</v>
      </c>
      <c r="B16" s="7" t="s">
        <v>113</v>
      </c>
      <c r="C16" s="7" t="s">
        <v>81</v>
      </c>
      <c r="D16" s="7" t="s">
        <v>95</v>
      </c>
      <c r="E16" s="7" t="s">
        <v>89</v>
      </c>
      <c r="F16" s="8">
        <v>50000</v>
      </c>
      <c r="G16" s="8">
        <v>6</v>
      </c>
      <c r="H16" s="9">
        <v>46058</v>
      </c>
      <c r="I16" s="7" t="s">
        <v>77</v>
      </c>
      <c r="J16" s="7" t="s">
        <v>85</v>
      </c>
      <c r="K16" s="8">
        <v>2024</v>
      </c>
      <c r="L16" s="9">
        <v>45489</v>
      </c>
    </row>
    <row r="17" spans="1:12">
      <c r="A17" s="7" t="s">
        <v>114</v>
      </c>
      <c r="B17" s="7" t="s">
        <v>115</v>
      </c>
      <c r="C17" s="7" t="s">
        <v>101</v>
      </c>
      <c r="D17" s="7" t="s">
        <v>75</v>
      </c>
      <c r="E17" s="7" t="s">
        <v>83</v>
      </c>
      <c r="F17" s="8">
        <v>38000</v>
      </c>
      <c r="G17" s="8">
        <v>4</v>
      </c>
      <c r="H17" s="9">
        <v>46061</v>
      </c>
      <c r="I17" s="7" t="s">
        <v>90</v>
      </c>
      <c r="J17" s="7" t="s">
        <v>91</v>
      </c>
      <c r="K17" s="8">
        <v>2026</v>
      </c>
      <c r="L17" s="9">
        <v>46084</v>
      </c>
    </row>
    <row r="18" spans="1:12">
      <c r="A18" s="7" t="s">
        <v>116</v>
      </c>
      <c r="B18" s="7" t="s">
        <v>117</v>
      </c>
      <c r="C18" s="7" t="s">
        <v>74</v>
      </c>
      <c r="D18" s="7" t="s">
        <v>82</v>
      </c>
      <c r="E18" s="7" t="s">
        <v>76</v>
      </c>
      <c r="F18" s="8">
        <v>105000</v>
      </c>
      <c r="G18" s="8">
        <v>3</v>
      </c>
      <c r="H18" s="9">
        <v>46064</v>
      </c>
      <c r="I18" s="7" t="s">
        <v>77</v>
      </c>
      <c r="J18" s="7" t="s">
        <v>78</v>
      </c>
      <c r="K18" s="8">
        <v>2023</v>
      </c>
      <c r="L18" s="9">
        <v>45220</v>
      </c>
    </row>
    <row r="19" spans="1:12">
      <c r="A19" s="7" t="s">
        <v>118</v>
      </c>
      <c r="B19" s="7" t="s">
        <v>119</v>
      </c>
      <c r="C19" s="7" t="s">
        <v>94</v>
      </c>
      <c r="D19" s="7" t="s">
        <v>88</v>
      </c>
      <c r="E19" s="7" t="s">
        <v>89</v>
      </c>
      <c r="F19" s="8">
        <v>33000</v>
      </c>
      <c r="G19" s="8">
        <v>3</v>
      </c>
      <c r="H19" s="9">
        <v>46067</v>
      </c>
      <c r="I19" s="7" t="s">
        <v>98</v>
      </c>
      <c r="J19" s="7" t="s">
        <v>85</v>
      </c>
      <c r="K19" s="8">
        <v>2020</v>
      </c>
      <c r="L19" s="9">
        <v>44085</v>
      </c>
    </row>
    <row r="20" spans="1:12" ht="29">
      <c r="A20" s="7" t="s">
        <v>120</v>
      </c>
      <c r="B20" s="7" t="s">
        <v>121</v>
      </c>
      <c r="C20" s="7" t="s">
        <v>81</v>
      </c>
      <c r="D20" s="7" t="s">
        <v>75</v>
      </c>
      <c r="E20" s="7" t="s">
        <v>83</v>
      </c>
      <c r="F20" s="8">
        <v>48000</v>
      </c>
      <c r="G20" s="8">
        <v>5</v>
      </c>
      <c r="H20" s="9">
        <v>46070</v>
      </c>
      <c r="I20" s="7" t="s">
        <v>84</v>
      </c>
      <c r="J20" s="7" t="s">
        <v>85</v>
      </c>
      <c r="K20" s="8">
        <v>2024</v>
      </c>
      <c r="L20" s="9">
        <v>45409</v>
      </c>
    </row>
    <row r="21" spans="1:12">
      <c r="A21" s="7" t="s">
        <v>122</v>
      </c>
      <c r="B21" s="7" t="s">
        <v>123</v>
      </c>
      <c r="C21" s="7" t="s">
        <v>74</v>
      </c>
      <c r="D21" s="7" t="s">
        <v>95</v>
      </c>
      <c r="E21" s="7" t="s">
        <v>76</v>
      </c>
      <c r="F21" s="8">
        <v>88000</v>
      </c>
      <c r="G21" s="8">
        <v>2</v>
      </c>
      <c r="H21" s="9">
        <v>46073</v>
      </c>
      <c r="I21" s="7" t="s">
        <v>77</v>
      </c>
      <c r="J21" s="7" t="s">
        <v>78</v>
      </c>
      <c r="K21" s="8">
        <v>2023</v>
      </c>
      <c r="L21" s="9">
        <v>45083</v>
      </c>
    </row>
    <row r="22" spans="1:12">
      <c r="A22" s="7" t="s">
        <v>124</v>
      </c>
      <c r="B22" s="7" t="s">
        <v>125</v>
      </c>
      <c r="C22" s="7" t="s">
        <v>101</v>
      </c>
      <c r="D22" s="7" t="s">
        <v>82</v>
      </c>
      <c r="E22" s="7" t="s">
        <v>89</v>
      </c>
      <c r="F22" s="8">
        <v>26000</v>
      </c>
      <c r="G22" s="8">
        <v>2</v>
      </c>
      <c r="H22" s="9">
        <v>46076</v>
      </c>
      <c r="I22" s="7" t="s">
        <v>90</v>
      </c>
      <c r="J22" s="7" t="s">
        <v>91</v>
      </c>
      <c r="K22" s="8">
        <v>2020</v>
      </c>
      <c r="L22" s="9">
        <v>44184</v>
      </c>
    </row>
    <row r="23" spans="1:12">
      <c r="A23" s="7" t="s">
        <v>126</v>
      </c>
      <c r="B23" s="7" t="s">
        <v>127</v>
      </c>
      <c r="C23" s="7" t="s">
        <v>74</v>
      </c>
      <c r="D23" s="7" t="s">
        <v>88</v>
      </c>
      <c r="E23" s="7" t="s">
        <v>83</v>
      </c>
      <c r="F23" s="8">
        <v>61000</v>
      </c>
      <c r="G23" s="8">
        <v>7</v>
      </c>
      <c r="H23" s="9">
        <v>46078</v>
      </c>
      <c r="I23" s="7" t="s">
        <v>98</v>
      </c>
      <c r="J23" s="7" t="s">
        <v>85</v>
      </c>
      <c r="K23" s="8">
        <v>2026</v>
      </c>
      <c r="L23" s="9">
        <v>46127</v>
      </c>
    </row>
    <row r="24" spans="1:12">
      <c r="A24" s="7" t="s">
        <v>128</v>
      </c>
      <c r="B24" s="7" t="s">
        <v>129</v>
      </c>
      <c r="C24" s="7" t="s">
        <v>81</v>
      </c>
      <c r="D24" s="7" t="s">
        <v>95</v>
      </c>
      <c r="E24" s="7" t="s">
        <v>76</v>
      </c>
      <c r="F24" s="8">
        <v>132000</v>
      </c>
      <c r="G24" s="8">
        <v>4</v>
      </c>
      <c r="H24" s="9">
        <v>46081</v>
      </c>
      <c r="I24" s="7" t="s">
        <v>77</v>
      </c>
      <c r="J24" s="7" t="s">
        <v>78</v>
      </c>
      <c r="K24" s="8">
        <v>2024</v>
      </c>
      <c r="L24" s="9">
        <v>45574</v>
      </c>
    </row>
    <row r="26" spans="1:12">
      <c r="A26" s="14" t="s">
        <v>130</v>
      </c>
    </row>
    <row r="28" spans="1:12">
      <c r="A28" s="14">
        <v>1</v>
      </c>
      <c r="B28" s="14" t="s">
        <v>46</v>
      </c>
      <c r="C28">
        <f>SUM(F5:F24)</f>
        <v>1280000</v>
      </c>
    </row>
    <row r="29" spans="1:12">
      <c r="A29" s="14">
        <v>2</v>
      </c>
      <c r="B29" s="14" t="s">
        <v>132</v>
      </c>
      <c r="C29">
        <f>AVERAGE(F5:F24)</f>
        <v>64000</v>
      </c>
    </row>
    <row r="30" spans="1:12">
      <c r="A30" s="14">
        <v>3</v>
      </c>
      <c r="B30" s="14" t="s">
        <v>133</v>
      </c>
      <c r="C30">
        <f>MAX(F5:F24)</f>
        <v>150000</v>
      </c>
    </row>
    <row r="31" spans="1:12">
      <c r="A31" s="14">
        <v>4</v>
      </c>
      <c r="B31" s="14" t="s">
        <v>134</v>
      </c>
      <c r="C31">
        <f>MIN(F5:F24)</f>
        <v>26000</v>
      </c>
    </row>
    <row r="32" spans="1:12">
      <c r="A32" s="14">
        <v>5</v>
      </c>
      <c r="B32" s="14" t="s">
        <v>136</v>
      </c>
      <c r="C32" s="15" t="s">
        <v>111</v>
      </c>
    </row>
    <row r="33" spans="1:3">
      <c r="A33" s="14">
        <v>6</v>
      </c>
      <c r="B33" s="14" t="s">
        <v>137</v>
      </c>
      <c r="C33">
        <f>COUNTA(A5:A24)</f>
        <v>20</v>
      </c>
    </row>
    <row r="45" spans="1:3">
      <c r="B45" s="14" t="s">
        <v>138</v>
      </c>
    </row>
    <row r="46" spans="1:3">
      <c r="B46" s="12" t="s">
        <v>135</v>
      </c>
      <c r="C46" s="12" t="s">
        <v>19</v>
      </c>
    </row>
    <row r="47" spans="1:3">
      <c r="A47">
        <v>1</v>
      </c>
      <c r="B47" s="7" t="s">
        <v>111</v>
      </c>
      <c r="C47" s="13">
        <v>150000</v>
      </c>
    </row>
    <row r="48" spans="1:3">
      <c r="A48">
        <v>2</v>
      </c>
      <c r="B48" s="7" t="s">
        <v>129</v>
      </c>
      <c r="C48" s="13">
        <v>132000</v>
      </c>
    </row>
    <row r="49" spans="1:3">
      <c r="A49">
        <v>3</v>
      </c>
      <c r="B49" s="13" t="s">
        <v>103</v>
      </c>
      <c r="C49" s="13">
        <v>120000</v>
      </c>
    </row>
    <row r="50" spans="1:3">
      <c r="A50">
        <v>4</v>
      </c>
      <c r="B50" s="7" t="s">
        <v>117</v>
      </c>
      <c r="C50" s="13">
        <v>105000</v>
      </c>
    </row>
    <row r="51" spans="1:3">
      <c r="A51">
        <v>5</v>
      </c>
      <c r="B51" s="7" t="s">
        <v>93</v>
      </c>
      <c r="C51" s="13">
        <v>90000</v>
      </c>
    </row>
    <row r="55" spans="1:3">
      <c r="A55" s="14" t="s">
        <v>139</v>
      </c>
    </row>
    <row r="56" spans="1:3">
      <c r="A56" s="20" t="s">
        <v>143</v>
      </c>
    </row>
    <row r="57" spans="1:3">
      <c r="B57" s="21" t="s">
        <v>140</v>
      </c>
      <c r="C57" s="21" t="s">
        <v>142</v>
      </c>
    </row>
    <row r="58" spans="1:3">
      <c r="B58" s="13" t="s">
        <v>88</v>
      </c>
      <c r="C58" s="13">
        <v>400000</v>
      </c>
    </row>
    <row r="59" spans="1:3">
      <c r="B59" s="13" t="s">
        <v>75</v>
      </c>
      <c r="C59" s="13">
        <v>216000</v>
      </c>
    </row>
    <row r="60" spans="1:3">
      <c r="B60" s="13" t="s">
        <v>82</v>
      </c>
      <c r="C60" s="13">
        <v>272000</v>
      </c>
    </row>
    <row r="61" spans="1:3">
      <c r="B61" s="13" t="s">
        <v>95</v>
      </c>
      <c r="C61" s="13">
        <v>392000</v>
      </c>
    </row>
    <row r="62" spans="1:3">
      <c r="B62" s="13" t="s">
        <v>141</v>
      </c>
      <c r="C62" s="13">
        <v>1280000</v>
      </c>
    </row>
    <row r="65" spans="1:3">
      <c r="A65" s="20" t="s">
        <v>144</v>
      </c>
    </row>
    <row r="66" spans="1:3">
      <c r="B66" s="21" t="s">
        <v>66</v>
      </c>
      <c r="C66" s="21" t="s">
        <v>142</v>
      </c>
    </row>
    <row r="67" spans="1:3">
      <c r="B67" s="13" t="s">
        <v>76</v>
      </c>
      <c r="C67" s="13">
        <v>760000</v>
      </c>
    </row>
    <row r="68" spans="1:3">
      <c r="B68" s="13" t="s">
        <v>83</v>
      </c>
      <c r="C68" s="13">
        <v>305000</v>
      </c>
    </row>
    <row r="69" spans="1:3">
      <c r="B69" s="13" t="s">
        <v>89</v>
      </c>
      <c r="C69" s="13">
        <v>215000</v>
      </c>
    </row>
    <row r="70" spans="1:3">
      <c r="B70" s="13" t="s">
        <v>141</v>
      </c>
      <c r="C70" s="13">
        <v>1280000</v>
      </c>
    </row>
    <row r="73" spans="1:3">
      <c r="A73" s="20" t="s">
        <v>145</v>
      </c>
    </row>
    <row r="74" spans="1:3">
      <c r="B74" s="16" t="s">
        <v>140</v>
      </c>
      <c r="C74" t="s">
        <v>142</v>
      </c>
    </row>
    <row r="75" spans="1:3">
      <c r="B75" s="17" t="s">
        <v>76</v>
      </c>
      <c r="C75">
        <v>760000</v>
      </c>
    </row>
    <row r="76" spans="1:3">
      <c r="B76" s="18" t="s">
        <v>88</v>
      </c>
      <c r="C76">
        <v>270000</v>
      </c>
    </row>
    <row r="77" spans="1:3">
      <c r="B77" s="18" t="s">
        <v>75</v>
      </c>
      <c r="C77">
        <v>75000</v>
      </c>
    </row>
    <row r="78" spans="1:3">
      <c r="B78" s="18" t="s">
        <v>82</v>
      </c>
      <c r="C78">
        <v>105000</v>
      </c>
    </row>
    <row r="79" spans="1:3">
      <c r="B79" s="18" t="s">
        <v>95</v>
      </c>
      <c r="C79">
        <v>310000</v>
      </c>
    </row>
    <row r="80" spans="1:3">
      <c r="B80" s="17" t="s">
        <v>83</v>
      </c>
      <c r="C80">
        <v>305000</v>
      </c>
    </row>
    <row r="81" spans="1:3">
      <c r="B81" s="18" t="s">
        <v>88</v>
      </c>
      <c r="C81">
        <v>61000</v>
      </c>
    </row>
    <row r="82" spans="1:3">
      <c r="B82" s="18" t="s">
        <v>75</v>
      </c>
      <c r="C82">
        <v>113000</v>
      </c>
    </row>
    <row r="83" spans="1:3">
      <c r="B83" s="18" t="s">
        <v>82</v>
      </c>
      <c r="C83">
        <v>99000</v>
      </c>
    </row>
    <row r="84" spans="1:3">
      <c r="B84" s="18" t="s">
        <v>95</v>
      </c>
      <c r="C84">
        <v>32000</v>
      </c>
    </row>
    <row r="85" spans="1:3">
      <c r="B85" s="17" t="s">
        <v>89</v>
      </c>
      <c r="C85">
        <v>215000</v>
      </c>
    </row>
    <row r="86" spans="1:3">
      <c r="B86" s="18" t="s">
        <v>88</v>
      </c>
      <c r="C86">
        <v>69000</v>
      </c>
    </row>
    <row r="87" spans="1:3">
      <c r="B87" s="18" t="s">
        <v>75</v>
      </c>
      <c r="C87">
        <v>28000</v>
      </c>
    </row>
    <row r="88" spans="1:3">
      <c r="B88" s="18" t="s">
        <v>82</v>
      </c>
      <c r="C88">
        <v>68000</v>
      </c>
    </row>
    <row r="89" spans="1:3">
      <c r="B89" s="18" t="s">
        <v>95</v>
      </c>
      <c r="C89">
        <v>50000</v>
      </c>
    </row>
    <row r="90" spans="1:3">
      <c r="B90" s="17" t="s">
        <v>141</v>
      </c>
      <c r="C90">
        <v>1280000</v>
      </c>
    </row>
    <row r="94" spans="1:3">
      <c r="A94" s="22" t="s">
        <v>146</v>
      </c>
    </row>
    <row r="95" spans="1:3">
      <c r="A95" t="s">
        <v>147</v>
      </c>
    </row>
    <row r="96" spans="1:3">
      <c r="A96" t="s">
        <v>148</v>
      </c>
    </row>
    <row r="97" spans="1:1">
      <c r="A97" t="s">
        <v>149</v>
      </c>
    </row>
    <row r="98" spans="1:1">
      <c r="A98" t="s">
        <v>150</v>
      </c>
    </row>
    <row r="99" spans="1:1">
      <c r="A99" t="s">
        <v>151</v>
      </c>
    </row>
    <row r="100" spans="1:1">
      <c r="A100" t="s">
        <v>152</v>
      </c>
    </row>
    <row r="101" spans="1:1">
      <c r="A101" t="s">
        <v>153</v>
      </c>
    </row>
    <row r="103" spans="1:1">
      <c r="A103" s="22" t="s">
        <v>155</v>
      </c>
    </row>
    <row r="104" spans="1:1">
      <c r="A104" t="s">
        <v>154</v>
      </c>
    </row>
    <row r="105" spans="1:1">
      <c r="A105" t="s">
        <v>156</v>
      </c>
    </row>
  </sheetData>
  <sortState xmlns:xlrd2="http://schemas.microsoft.com/office/spreadsheetml/2017/richdata2" ref="A5:L24">
    <sortCondition ref="A5:A24"/>
  </sortState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3FD4-1040-4F9A-A401-770AA8DAE5E5}">
  <sheetPr codeName="Sheet11"/>
  <dimension ref="A3:B19"/>
  <sheetViews>
    <sheetView topLeftCell="A13" workbookViewId="0">
      <selection activeCell="A3" sqref="A3:B19"/>
    </sheetView>
  </sheetViews>
  <sheetFormatPr defaultRowHeight="14.5"/>
  <cols>
    <col min="1" max="1" width="12.36328125" bestFit="1" customWidth="1"/>
    <col min="2" max="2" width="18.7265625" bestFit="1" customWidth="1"/>
  </cols>
  <sheetData>
    <row r="3" spans="1:2">
      <c r="A3" s="16" t="s">
        <v>140</v>
      </c>
      <c r="B3" t="s">
        <v>142</v>
      </c>
    </row>
    <row r="4" spans="1:2">
      <c r="A4" s="17" t="s">
        <v>76</v>
      </c>
      <c r="B4">
        <v>760000</v>
      </c>
    </row>
    <row r="5" spans="1:2">
      <c r="A5" s="18" t="s">
        <v>88</v>
      </c>
      <c r="B5">
        <v>270000</v>
      </c>
    </row>
    <row r="6" spans="1:2">
      <c r="A6" s="18" t="s">
        <v>75</v>
      </c>
      <c r="B6">
        <v>75000</v>
      </c>
    </row>
    <row r="7" spans="1:2">
      <c r="A7" s="18" t="s">
        <v>82</v>
      </c>
      <c r="B7">
        <v>105000</v>
      </c>
    </row>
    <row r="8" spans="1:2">
      <c r="A8" s="18" t="s">
        <v>95</v>
      </c>
      <c r="B8">
        <v>310000</v>
      </c>
    </row>
    <row r="9" spans="1:2">
      <c r="A9" s="17" t="s">
        <v>83</v>
      </c>
      <c r="B9">
        <v>305000</v>
      </c>
    </row>
    <row r="10" spans="1:2">
      <c r="A10" s="18" t="s">
        <v>88</v>
      </c>
      <c r="B10">
        <v>61000</v>
      </c>
    </row>
    <row r="11" spans="1:2">
      <c r="A11" s="18" t="s">
        <v>75</v>
      </c>
      <c r="B11">
        <v>113000</v>
      </c>
    </row>
    <row r="12" spans="1:2">
      <c r="A12" s="18" t="s">
        <v>82</v>
      </c>
      <c r="B12">
        <v>99000</v>
      </c>
    </row>
    <row r="13" spans="1:2">
      <c r="A13" s="18" t="s">
        <v>95</v>
      </c>
      <c r="B13">
        <v>32000</v>
      </c>
    </row>
    <row r="14" spans="1:2">
      <c r="A14" s="17" t="s">
        <v>89</v>
      </c>
      <c r="B14">
        <v>215000</v>
      </c>
    </row>
    <row r="15" spans="1:2">
      <c r="A15" s="18" t="s">
        <v>88</v>
      </c>
      <c r="B15">
        <v>69000</v>
      </c>
    </row>
    <row r="16" spans="1:2">
      <c r="A16" s="18" t="s">
        <v>75</v>
      </c>
      <c r="B16">
        <v>28000</v>
      </c>
    </row>
    <row r="17" spans="1:2">
      <c r="A17" s="18" t="s">
        <v>82</v>
      </c>
      <c r="B17">
        <v>68000</v>
      </c>
    </row>
    <row r="18" spans="1:2">
      <c r="A18" s="18" t="s">
        <v>95</v>
      </c>
      <c r="B18">
        <v>50000</v>
      </c>
    </row>
    <row r="19" spans="1:2">
      <c r="A19" s="17" t="s">
        <v>141</v>
      </c>
      <c r="B19">
        <v>1280000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38980-14F4-403B-B244-99D2F55CA652}">
  <sheetPr codeName="Sheet12"/>
  <dimension ref="B3:G39"/>
  <sheetViews>
    <sheetView topLeftCell="A8" workbookViewId="0">
      <selection activeCell="G3" sqref="G3:G23"/>
    </sheetView>
  </sheetViews>
  <sheetFormatPr defaultRowHeight="14.5"/>
  <cols>
    <col min="2" max="2" width="9.453125" customWidth="1"/>
    <col min="3" max="3" width="10" customWidth="1"/>
    <col min="5" max="5" width="11.54296875" customWidth="1"/>
    <col min="6" max="6" width="15.453125" customWidth="1"/>
    <col min="7" max="7" width="19" customWidth="1"/>
  </cols>
  <sheetData>
    <row r="3" spans="2:7" ht="43.5">
      <c r="B3" s="10" t="s">
        <v>65</v>
      </c>
      <c r="C3" s="10" t="s">
        <v>16</v>
      </c>
      <c r="D3" s="11" t="s">
        <v>19</v>
      </c>
      <c r="E3" s="24" t="s">
        <v>157</v>
      </c>
      <c r="F3" s="24" t="s">
        <v>157</v>
      </c>
      <c r="G3" s="24" t="s">
        <v>158</v>
      </c>
    </row>
    <row r="4" spans="2:7">
      <c r="B4" s="7" t="s">
        <v>72</v>
      </c>
      <c r="C4" s="7" t="s">
        <v>73</v>
      </c>
      <c r="D4" s="8">
        <v>75000</v>
      </c>
      <c r="E4" s="13" t="str">
        <f t="shared" ref="E4:E23" si="0">IF(D4&gt;50000,"A",IF(D4&gt;40000,"B",IF(D4&gt;30000,"C",IF(D4&gt;20000,"D","Not Eligible for Bonus"))))</f>
        <v>A</v>
      </c>
      <c r="F4" s="13" t="str">
        <f>IF(E4="A","Excellent",IF(E4="B","Good",IF(E4="C","Average",IF(E4="D","Needs Improvement"))))</f>
        <v>Excellent</v>
      </c>
      <c r="G4" s="23" t="str">
        <f t="shared" ref="G4:G23" si="1">IF(AND(D4&gt;50000,E4="A"),"Eligible for Bonus","Not eligible for Bonus")</f>
        <v>Eligible for Bonus</v>
      </c>
    </row>
    <row r="5" spans="2:7">
      <c r="B5" s="7" t="s">
        <v>79</v>
      </c>
      <c r="C5" s="7" t="s">
        <v>80</v>
      </c>
      <c r="D5" s="8">
        <v>45000</v>
      </c>
      <c r="E5" s="13" t="str">
        <f t="shared" si="0"/>
        <v>B</v>
      </c>
      <c r="F5" s="13" t="str">
        <f>IF(E5="A","Excellent",IF(E5="B","Good",IF(E5="C","Average",IF(E5="D","Needs Improvement"))))</f>
        <v>Good</v>
      </c>
      <c r="G5" s="23" t="str">
        <f t="shared" si="1"/>
        <v>Not eligible for Bonus</v>
      </c>
    </row>
    <row r="6" spans="2:7">
      <c r="B6" s="7" t="s">
        <v>86</v>
      </c>
      <c r="C6" s="7" t="s">
        <v>87</v>
      </c>
      <c r="D6" s="8">
        <v>36000</v>
      </c>
      <c r="E6" s="13" t="str">
        <f t="shared" si="0"/>
        <v>C</v>
      </c>
      <c r="F6" s="13" t="str">
        <f t="shared" ref="F6:F23" si="2">IF(E6="A","Excellent",IF(E6="B","Good",IF(E6="C","Average",IF(E6="D","Needs Improvement"))))</f>
        <v>Average</v>
      </c>
      <c r="G6" s="23" t="str">
        <f t="shared" si="1"/>
        <v>Not eligible for Bonus</v>
      </c>
    </row>
    <row r="7" spans="2:7">
      <c r="B7" s="7" t="s">
        <v>92</v>
      </c>
      <c r="C7" s="7" t="s">
        <v>93</v>
      </c>
      <c r="D7" s="8">
        <v>90000</v>
      </c>
      <c r="E7" s="13" t="str">
        <f t="shared" si="0"/>
        <v>A</v>
      </c>
      <c r="F7" s="13" t="str">
        <f t="shared" si="2"/>
        <v>Excellent</v>
      </c>
      <c r="G7" s="23" t="str">
        <f t="shared" si="1"/>
        <v>Eligible for Bonus</v>
      </c>
    </row>
    <row r="8" spans="2:7">
      <c r="B8" s="7" t="s">
        <v>96</v>
      </c>
      <c r="C8" s="7" t="s">
        <v>97</v>
      </c>
      <c r="D8" s="8">
        <v>54000</v>
      </c>
      <c r="E8" s="13" t="str">
        <f t="shared" si="0"/>
        <v>A</v>
      </c>
      <c r="F8" s="13" t="str">
        <f t="shared" si="2"/>
        <v>Excellent</v>
      </c>
      <c r="G8" s="23" t="str">
        <f t="shared" si="1"/>
        <v>Eligible for Bonus</v>
      </c>
    </row>
    <row r="9" spans="2:7">
      <c r="B9" s="7" t="s">
        <v>99</v>
      </c>
      <c r="C9" s="7" t="s">
        <v>100</v>
      </c>
      <c r="D9" s="8">
        <v>28000</v>
      </c>
      <c r="E9" s="13" t="str">
        <f t="shared" si="0"/>
        <v>D</v>
      </c>
      <c r="F9" s="13" t="str">
        <f t="shared" si="2"/>
        <v>Needs Improvement</v>
      </c>
      <c r="G9" s="23" t="str">
        <f t="shared" si="1"/>
        <v>Not eligible for Bonus</v>
      </c>
    </row>
    <row r="10" spans="2:7">
      <c r="B10" s="7" t="s">
        <v>102</v>
      </c>
      <c r="C10" s="7" t="s">
        <v>103</v>
      </c>
      <c r="D10" s="8">
        <v>120000</v>
      </c>
      <c r="E10" s="13" t="str">
        <f t="shared" si="0"/>
        <v>A</v>
      </c>
      <c r="F10" s="13" t="str">
        <f t="shared" si="2"/>
        <v>Excellent</v>
      </c>
      <c r="G10" s="23" t="str">
        <f t="shared" si="1"/>
        <v>Eligible for Bonus</v>
      </c>
    </row>
    <row r="11" spans="2:7">
      <c r="B11" s="7" t="s">
        <v>104</v>
      </c>
      <c r="C11" s="7" t="s">
        <v>105</v>
      </c>
      <c r="D11" s="8">
        <v>32000</v>
      </c>
      <c r="E11" s="13" t="str">
        <f t="shared" si="0"/>
        <v>C</v>
      </c>
      <c r="F11" s="13" t="str">
        <f t="shared" si="2"/>
        <v>Average</v>
      </c>
      <c r="G11" s="23" t="str">
        <f t="shared" si="1"/>
        <v>Not eligible for Bonus</v>
      </c>
    </row>
    <row r="12" spans="2:7">
      <c r="B12" s="7" t="s">
        <v>106</v>
      </c>
      <c r="C12" s="7" t="s">
        <v>107</v>
      </c>
      <c r="D12" s="8">
        <v>42000</v>
      </c>
      <c r="E12" s="13" t="str">
        <f t="shared" si="0"/>
        <v>B</v>
      </c>
      <c r="F12" s="13" t="str">
        <f t="shared" si="2"/>
        <v>Good</v>
      </c>
      <c r="G12" s="23" t="str">
        <f t="shared" si="1"/>
        <v>Not eligible for Bonus</v>
      </c>
    </row>
    <row r="13" spans="2:7">
      <c r="B13" s="7" t="s">
        <v>108</v>
      </c>
      <c r="C13" s="7" t="s">
        <v>109</v>
      </c>
      <c r="D13" s="8">
        <v>27000</v>
      </c>
      <c r="E13" s="13" t="str">
        <f t="shared" si="0"/>
        <v>D</v>
      </c>
      <c r="F13" s="13" t="str">
        <f t="shared" si="2"/>
        <v>Needs Improvement</v>
      </c>
      <c r="G13" s="23" t="str">
        <f t="shared" si="1"/>
        <v>Not eligible for Bonus</v>
      </c>
    </row>
    <row r="14" spans="2:7">
      <c r="B14" s="7" t="s">
        <v>110</v>
      </c>
      <c r="C14" s="7" t="s">
        <v>111</v>
      </c>
      <c r="D14" s="8">
        <v>150000</v>
      </c>
      <c r="E14" s="13" t="str">
        <f t="shared" si="0"/>
        <v>A</v>
      </c>
      <c r="F14" s="13" t="str">
        <f t="shared" si="2"/>
        <v>Excellent</v>
      </c>
      <c r="G14" s="23" t="str">
        <f t="shared" si="1"/>
        <v>Eligible for Bonus</v>
      </c>
    </row>
    <row r="15" spans="2:7">
      <c r="B15" s="7" t="s">
        <v>112</v>
      </c>
      <c r="C15" s="7" t="s">
        <v>113</v>
      </c>
      <c r="D15" s="8">
        <v>50000</v>
      </c>
      <c r="E15" s="13" t="str">
        <f t="shared" si="0"/>
        <v>B</v>
      </c>
      <c r="F15" s="13" t="str">
        <f t="shared" si="2"/>
        <v>Good</v>
      </c>
      <c r="G15" s="23" t="str">
        <f t="shared" si="1"/>
        <v>Not eligible for Bonus</v>
      </c>
    </row>
    <row r="16" spans="2:7">
      <c r="B16" s="7" t="s">
        <v>114</v>
      </c>
      <c r="C16" s="7" t="s">
        <v>115</v>
      </c>
      <c r="D16" s="8">
        <v>38000</v>
      </c>
      <c r="E16" s="13" t="str">
        <f t="shared" si="0"/>
        <v>C</v>
      </c>
      <c r="F16" s="13" t="str">
        <f t="shared" si="2"/>
        <v>Average</v>
      </c>
      <c r="G16" s="23" t="str">
        <f t="shared" si="1"/>
        <v>Not eligible for Bonus</v>
      </c>
    </row>
    <row r="17" spans="2:7">
      <c r="B17" s="7" t="s">
        <v>116</v>
      </c>
      <c r="C17" s="7" t="s">
        <v>117</v>
      </c>
      <c r="D17" s="8">
        <v>105000</v>
      </c>
      <c r="E17" s="13" t="str">
        <f t="shared" si="0"/>
        <v>A</v>
      </c>
      <c r="F17" s="13" t="str">
        <f t="shared" si="2"/>
        <v>Excellent</v>
      </c>
      <c r="G17" s="23" t="str">
        <f t="shared" si="1"/>
        <v>Eligible for Bonus</v>
      </c>
    </row>
    <row r="18" spans="2:7">
      <c r="B18" s="7" t="s">
        <v>118</v>
      </c>
      <c r="C18" s="7" t="s">
        <v>119</v>
      </c>
      <c r="D18" s="8">
        <v>33000</v>
      </c>
      <c r="E18" s="13" t="str">
        <f t="shared" si="0"/>
        <v>C</v>
      </c>
      <c r="F18" s="13" t="str">
        <f t="shared" si="2"/>
        <v>Average</v>
      </c>
      <c r="G18" s="23" t="str">
        <f t="shared" si="1"/>
        <v>Not eligible for Bonus</v>
      </c>
    </row>
    <row r="19" spans="2:7">
      <c r="B19" s="7" t="s">
        <v>120</v>
      </c>
      <c r="C19" s="7" t="s">
        <v>121</v>
      </c>
      <c r="D19" s="8">
        <v>48000</v>
      </c>
      <c r="E19" s="13" t="str">
        <f t="shared" si="0"/>
        <v>B</v>
      </c>
      <c r="F19" s="13" t="str">
        <f t="shared" si="2"/>
        <v>Good</v>
      </c>
      <c r="G19" s="23" t="str">
        <f t="shared" si="1"/>
        <v>Not eligible for Bonus</v>
      </c>
    </row>
    <row r="20" spans="2:7">
      <c r="B20" s="7" t="s">
        <v>122</v>
      </c>
      <c r="C20" s="7" t="s">
        <v>123</v>
      </c>
      <c r="D20" s="8">
        <v>88000</v>
      </c>
      <c r="E20" s="13" t="str">
        <f t="shared" si="0"/>
        <v>A</v>
      </c>
      <c r="F20" s="13" t="str">
        <f t="shared" si="2"/>
        <v>Excellent</v>
      </c>
      <c r="G20" s="23" t="str">
        <f t="shared" si="1"/>
        <v>Eligible for Bonus</v>
      </c>
    </row>
    <row r="21" spans="2:7">
      <c r="B21" s="7" t="s">
        <v>124</v>
      </c>
      <c r="C21" s="7" t="s">
        <v>125</v>
      </c>
      <c r="D21" s="8">
        <v>26000</v>
      </c>
      <c r="E21" s="13" t="str">
        <f t="shared" si="0"/>
        <v>D</v>
      </c>
      <c r="F21" s="13" t="str">
        <f t="shared" si="2"/>
        <v>Needs Improvement</v>
      </c>
      <c r="G21" s="23" t="str">
        <f t="shared" si="1"/>
        <v>Not eligible for Bonus</v>
      </c>
    </row>
    <row r="22" spans="2:7">
      <c r="B22" s="7" t="s">
        <v>126</v>
      </c>
      <c r="C22" s="7" t="s">
        <v>127</v>
      </c>
      <c r="D22" s="8">
        <v>61000</v>
      </c>
      <c r="E22" s="13" t="str">
        <f t="shared" si="0"/>
        <v>A</v>
      </c>
      <c r="F22" s="13" t="str">
        <f t="shared" si="2"/>
        <v>Excellent</v>
      </c>
      <c r="G22" s="23" t="str">
        <f t="shared" si="1"/>
        <v>Eligible for Bonus</v>
      </c>
    </row>
    <row r="23" spans="2:7">
      <c r="B23" s="7" t="s">
        <v>128</v>
      </c>
      <c r="C23" s="7" t="s">
        <v>129</v>
      </c>
      <c r="D23" s="8">
        <v>132000</v>
      </c>
      <c r="E23" s="13" t="str">
        <f t="shared" si="0"/>
        <v>A</v>
      </c>
      <c r="F23" s="13" t="str">
        <f t="shared" si="2"/>
        <v>Excellent</v>
      </c>
      <c r="G23" s="23" t="str">
        <f t="shared" si="1"/>
        <v>Eligible for Bonus</v>
      </c>
    </row>
    <row r="27" spans="2:7">
      <c r="B27" t="s">
        <v>161</v>
      </c>
    </row>
    <row r="28" spans="2:7">
      <c r="B28" t="s">
        <v>162</v>
      </c>
    </row>
    <row r="30" spans="2:7" ht="43.5">
      <c r="B30" s="10" t="s">
        <v>16</v>
      </c>
      <c r="C30" s="11" t="s">
        <v>19</v>
      </c>
      <c r="D30" s="24" t="s">
        <v>157</v>
      </c>
      <c r="E30" s="24" t="s">
        <v>157</v>
      </c>
      <c r="F30" s="24" t="s">
        <v>158</v>
      </c>
    </row>
    <row r="31" spans="2:7">
      <c r="B31" s="7" t="s">
        <v>73</v>
      </c>
      <c r="C31" s="8">
        <v>75000</v>
      </c>
      <c r="D31" s="13" t="s">
        <v>159</v>
      </c>
      <c r="E31" s="13" t="s">
        <v>78</v>
      </c>
      <c r="F31" s="23" t="s">
        <v>160</v>
      </c>
    </row>
    <row r="32" spans="2:7">
      <c r="B32" s="7" t="s">
        <v>93</v>
      </c>
      <c r="C32" s="8">
        <v>90000</v>
      </c>
      <c r="D32" s="13" t="s">
        <v>159</v>
      </c>
      <c r="E32" s="13" t="s">
        <v>78</v>
      </c>
      <c r="F32" s="23" t="s">
        <v>160</v>
      </c>
    </row>
    <row r="33" spans="2:6">
      <c r="B33" s="7" t="s">
        <v>97</v>
      </c>
      <c r="C33" s="8">
        <v>54000</v>
      </c>
      <c r="D33" s="13" t="s">
        <v>159</v>
      </c>
      <c r="E33" s="13" t="s">
        <v>78</v>
      </c>
      <c r="F33" s="23" t="s">
        <v>160</v>
      </c>
    </row>
    <row r="34" spans="2:6">
      <c r="B34" s="7" t="s">
        <v>103</v>
      </c>
      <c r="C34" s="8">
        <v>120000</v>
      </c>
      <c r="D34" s="13" t="s">
        <v>159</v>
      </c>
      <c r="E34" s="13" t="s">
        <v>78</v>
      </c>
      <c r="F34" s="23" t="s">
        <v>160</v>
      </c>
    </row>
    <row r="35" spans="2:6">
      <c r="B35" s="7" t="s">
        <v>111</v>
      </c>
      <c r="C35" s="8">
        <v>150000</v>
      </c>
      <c r="D35" s="13" t="s">
        <v>159</v>
      </c>
      <c r="E35" s="13" t="s">
        <v>78</v>
      </c>
      <c r="F35" s="23" t="s">
        <v>160</v>
      </c>
    </row>
    <row r="36" spans="2:6">
      <c r="B36" s="7" t="s">
        <v>117</v>
      </c>
      <c r="C36" s="8">
        <v>105000</v>
      </c>
      <c r="D36" s="13" t="s">
        <v>159</v>
      </c>
      <c r="E36" s="13" t="s">
        <v>78</v>
      </c>
      <c r="F36" s="23" t="s">
        <v>160</v>
      </c>
    </row>
    <row r="37" spans="2:6">
      <c r="B37" s="7" t="s">
        <v>123</v>
      </c>
      <c r="C37" s="8">
        <v>88000</v>
      </c>
      <c r="D37" s="13" t="s">
        <v>159</v>
      </c>
      <c r="E37" s="13" t="s">
        <v>78</v>
      </c>
      <c r="F37" s="23" t="s">
        <v>160</v>
      </c>
    </row>
    <row r="38" spans="2:6">
      <c r="B38" s="7" t="s">
        <v>127</v>
      </c>
      <c r="C38" s="8">
        <v>61000</v>
      </c>
      <c r="D38" s="13" t="s">
        <v>159</v>
      </c>
      <c r="E38" s="13" t="s">
        <v>78</v>
      </c>
      <c r="F38" s="23" t="s">
        <v>160</v>
      </c>
    </row>
    <row r="39" spans="2:6">
      <c r="B39" s="7" t="s">
        <v>129</v>
      </c>
      <c r="C39" s="8">
        <v>132000</v>
      </c>
      <c r="D39" s="13" t="s">
        <v>159</v>
      </c>
      <c r="E39" s="13" t="s">
        <v>78</v>
      </c>
      <c r="F39" s="23" t="s">
        <v>160</v>
      </c>
    </row>
  </sheetData>
  <autoFilter ref="G3:G23" xr:uid="{7A738980-14F4-403B-B244-99D2F55CA65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B60E-E434-48D4-A8FD-EC9949C1EF58}">
  <sheetPr codeName="Sheet13"/>
  <dimension ref="B2:P23"/>
  <sheetViews>
    <sheetView topLeftCell="A15" workbookViewId="0">
      <selection activeCell="O8" sqref="O8"/>
    </sheetView>
  </sheetViews>
  <sheetFormatPr defaultRowHeight="14.5"/>
  <cols>
    <col min="9" max="9" width="9.08984375" bestFit="1" customWidth="1"/>
    <col min="13" max="13" width="9.7265625" bestFit="1" customWidth="1"/>
    <col min="15" max="15" width="11.08984375" customWidth="1"/>
    <col min="16" max="16" width="11.90625" customWidth="1"/>
  </cols>
  <sheetData>
    <row r="2" spans="2:16">
      <c r="O2" s="19" t="s">
        <v>166</v>
      </c>
    </row>
    <row r="3" spans="2:16" ht="43.5">
      <c r="B3" s="10" t="s">
        <v>65</v>
      </c>
      <c r="C3" s="10" t="s">
        <v>16</v>
      </c>
      <c r="D3" s="10" t="s">
        <v>17</v>
      </c>
      <c r="E3" s="10" t="s">
        <v>18</v>
      </c>
      <c r="F3" s="10" t="s">
        <v>66</v>
      </c>
      <c r="G3" s="11" t="s">
        <v>19</v>
      </c>
      <c r="H3" s="11" t="s">
        <v>67</v>
      </c>
      <c r="I3" s="10" t="s">
        <v>68</v>
      </c>
      <c r="J3" s="10" t="s">
        <v>69</v>
      </c>
      <c r="K3" s="10" t="s">
        <v>20</v>
      </c>
      <c r="L3" s="11" t="s">
        <v>70</v>
      </c>
      <c r="M3" s="10" t="s">
        <v>71</v>
      </c>
      <c r="O3" s="25" t="s">
        <v>163</v>
      </c>
      <c r="P3" s="26" t="s">
        <v>164</v>
      </c>
    </row>
    <row r="4" spans="2:16">
      <c r="B4" s="7" t="s">
        <v>72</v>
      </c>
      <c r="C4" s="7" t="s">
        <v>73</v>
      </c>
      <c r="D4" s="7" t="s">
        <v>74</v>
      </c>
      <c r="E4" s="7" t="s">
        <v>75</v>
      </c>
      <c r="F4" s="7" t="s">
        <v>76</v>
      </c>
      <c r="G4" s="8">
        <v>75000</v>
      </c>
      <c r="H4" s="8">
        <v>3</v>
      </c>
      <c r="I4" s="9">
        <v>46027</v>
      </c>
      <c r="J4" s="7" t="s">
        <v>77</v>
      </c>
      <c r="K4" s="7" t="s">
        <v>78</v>
      </c>
      <c r="L4" s="8">
        <v>2024</v>
      </c>
      <c r="M4" s="9">
        <v>45458</v>
      </c>
      <c r="O4" s="13" t="s">
        <v>96</v>
      </c>
      <c r="P4" s="13" t="str">
        <f>_xlfn.XLOOKUP(O4,B4:B23,C4:C23,"Employee not found",0)</f>
        <v>Kiran</v>
      </c>
    </row>
    <row r="5" spans="2:16" ht="29">
      <c r="B5" s="7" t="s">
        <v>79</v>
      </c>
      <c r="C5" s="7" t="s">
        <v>80</v>
      </c>
      <c r="D5" s="7" t="s">
        <v>81</v>
      </c>
      <c r="E5" s="7" t="s">
        <v>82</v>
      </c>
      <c r="F5" s="7" t="s">
        <v>83</v>
      </c>
      <c r="G5" s="8">
        <v>45000</v>
      </c>
      <c r="H5" s="8">
        <v>5</v>
      </c>
      <c r="I5" s="9">
        <v>46029</v>
      </c>
      <c r="J5" s="7" t="s">
        <v>84</v>
      </c>
      <c r="K5" s="7" t="s">
        <v>85</v>
      </c>
      <c r="L5" s="8">
        <v>2023</v>
      </c>
      <c r="M5" s="9">
        <v>45148</v>
      </c>
    </row>
    <row r="6" spans="2:16" ht="29">
      <c r="B6" s="7" t="s">
        <v>86</v>
      </c>
      <c r="C6" s="7" t="s">
        <v>87</v>
      </c>
      <c r="D6" s="7" t="s">
        <v>74</v>
      </c>
      <c r="E6" s="7" t="s">
        <v>88</v>
      </c>
      <c r="F6" s="7" t="s">
        <v>89</v>
      </c>
      <c r="G6" s="8">
        <v>36000</v>
      </c>
      <c r="H6" s="8">
        <v>4</v>
      </c>
      <c r="I6" s="9">
        <v>46032</v>
      </c>
      <c r="J6" s="7" t="s">
        <v>90</v>
      </c>
      <c r="K6" s="7" t="s">
        <v>91</v>
      </c>
      <c r="L6" s="8">
        <v>2020</v>
      </c>
      <c r="M6" s="9">
        <v>43883</v>
      </c>
      <c r="O6" s="25" t="s">
        <v>163</v>
      </c>
      <c r="P6" s="26" t="s">
        <v>17</v>
      </c>
    </row>
    <row r="7" spans="2:16">
      <c r="B7" s="7" t="s">
        <v>92</v>
      </c>
      <c r="C7" s="7" t="s">
        <v>93</v>
      </c>
      <c r="D7" s="7" t="s">
        <v>94</v>
      </c>
      <c r="E7" s="7" t="s">
        <v>95</v>
      </c>
      <c r="F7" s="7" t="s">
        <v>76</v>
      </c>
      <c r="G7" s="8">
        <v>90000</v>
      </c>
      <c r="H7" s="8">
        <v>2</v>
      </c>
      <c r="I7" s="9">
        <v>46034</v>
      </c>
      <c r="J7" s="7" t="s">
        <v>77</v>
      </c>
      <c r="K7" s="7" t="s">
        <v>78</v>
      </c>
      <c r="L7" s="8">
        <v>2026</v>
      </c>
      <c r="M7" s="9">
        <v>46027</v>
      </c>
      <c r="O7" s="13" t="s">
        <v>112</v>
      </c>
      <c r="P7" s="13" t="str">
        <f>_xlfn.XLOOKUP(O7,B3:B23,D3:D23,"Department not found",0)</f>
        <v>Marketing</v>
      </c>
    </row>
    <row r="8" spans="2:16" ht="29">
      <c r="B8" s="7" t="s">
        <v>96</v>
      </c>
      <c r="C8" s="7" t="s">
        <v>97</v>
      </c>
      <c r="D8" s="7" t="s">
        <v>74</v>
      </c>
      <c r="E8" s="7" t="s">
        <v>82</v>
      </c>
      <c r="F8" s="7" t="s">
        <v>83</v>
      </c>
      <c r="G8" s="8">
        <v>54000</v>
      </c>
      <c r="H8" s="8">
        <v>6</v>
      </c>
      <c r="I8" s="9">
        <v>46037</v>
      </c>
      <c r="J8" s="7" t="s">
        <v>98</v>
      </c>
      <c r="K8" s="7" t="s">
        <v>85</v>
      </c>
      <c r="L8" s="8">
        <v>2024</v>
      </c>
      <c r="M8" s="9">
        <v>45553</v>
      </c>
    </row>
    <row r="9" spans="2:16" ht="29">
      <c r="B9" s="7" t="s">
        <v>99</v>
      </c>
      <c r="C9" s="7" t="s">
        <v>100</v>
      </c>
      <c r="D9" s="7" t="s">
        <v>101</v>
      </c>
      <c r="E9" s="7" t="s">
        <v>75</v>
      </c>
      <c r="F9" s="7" t="s">
        <v>89</v>
      </c>
      <c r="G9" s="8">
        <v>28000</v>
      </c>
      <c r="H9" s="8">
        <v>3</v>
      </c>
      <c r="I9" s="9">
        <v>46040</v>
      </c>
      <c r="J9" s="7" t="s">
        <v>77</v>
      </c>
      <c r="K9" s="7" t="s">
        <v>91</v>
      </c>
      <c r="L9" s="8">
        <v>2023</v>
      </c>
      <c r="M9" s="9">
        <v>45010</v>
      </c>
      <c r="O9" s="25" t="s">
        <v>163</v>
      </c>
      <c r="P9" s="26" t="s">
        <v>18</v>
      </c>
    </row>
    <row r="10" spans="2:16" ht="29">
      <c r="B10" s="7" t="s">
        <v>102</v>
      </c>
      <c r="C10" s="7" t="s">
        <v>103</v>
      </c>
      <c r="D10" s="7" t="s">
        <v>81</v>
      </c>
      <c r="E10" s="7" t="s">
        <v>88</v>
      </c>
      <c r="F10" s="7" t="s">
        <v>76</v>
      </c>
      <c r="G10" s="8">
        <v>120000</v>
      </c>
      <c r="H10" s="8">
        <v>4</v>
      </c>
      <c r="I10" s="9">
        <v>46042</v>
      </c>
      <c r="J10" s="7" t="s">
        <v>84</v>
      </c>
      <c r="K10" s="7" t="s">
        <v>78</v>
      </c>
      <c r="L10" s="8">
        <v>2020</v>
      </c>
      <c r="M10" s="9">
        <v>44024</v>
      </c>
      <c r="O10" s="13" t="s">
        <v>99</v>
      </c>
      <c r="P10" s="13" t="str">
        <f>_xlfn.XLOOKUP(O10,B3:B23,E3:E23,"Region not found",0)</f>
        <v>North</v>
      </c>
    </row>
    <row r="11" spans="2:16">
      <c r="B11" s="7" t="s">
        <v>104</v>
      </c>
      <c r="C11" s="7" t="s">
        <v>105</v>
      </c>
      <c r="D11" s="7" t="s">
        <v>74</v>
      </c>
      <c r="E11" s="7" t="s">
        <v>95</v>
      </c>
      <c r="F11" s="7" t="s">
        <v>83</v>
      </c>
      <c r="G11" s="8">
        <v>32000</v>
      </c>
      <c r="H11" s="8">
        <v>4</v>
      </c>
      <c r="I11" s="9">
        <v>46045</v>
      </c>
      <c r="J11" s="7" t="s">
        <v>90</v>
      </c>
      <c r="K11" s="7" t="s">
        <v>85</v>
      </c>
      <c r="L11" s="8">
        <v>2026</v>
      </c>
      <c r="M11" s="9">
        <v>46073</v>
      </c>
    </row>
    <row r="12" spans="2:16">
      <c r="B12" s="7" t="s">
        <v>106</v>
      </c>
      <c r="C12" s="7" t="s">
        <v>107</v>
      </c>
      <c r="D12" s="7" t="s">
        <v>101</v>
      </c>
      <c r="E12" s="7" t="s">
        <v>82</v>
      </c>
      <c r="F12" s="7" t="s">
        <v>89</v>
      </c>
      <c r="G12" s="8">
        <v>42000</v>
      </c>
      <c r="H12" s="8">
        <v>5</v>
      </c>
      <c r="I12" s="9">
        <v>46047</v>
      </c>
      <c r="J12" s="7" t="s">
        <v>77</v>
      </c>
      <c r="K12" s="7" t="s">
        <v>85</v>
      </c>
      <c r="L12" s="8">
        <v>2024</v>
      </c>
      <c r="M12" s="9">
        <v>45604</v>
      </c>
    </row>
    <row r="13" spans="2:16" ht="29">
      <c r="B13" s="7" t="s">
        <v>108</v>
      </c>
      <c r="C13" s="7" t="s">
        <v>109</v>
      </c>
      <c r="D13" s="7" t="s">
        <v>94</v>
      </c>
      <c r="E13" s="7" t="s">
        <v>75</v>
      </c>
      <c r="F13" s="7" t="s">
        <v>83</v>
      </c>
      <c r="G13" s="8">
        <v>27000</v>
      </c>
      <c r="H13" s="8">
        <v>3</v>
      </c>
      <c r="I13" s="9">
        <v>46050</v>
      </c>
      <c r="J13" s="7" t="s">
        <v>98</v>
      </c>
      <c r="K13" s="7" t="s">
        <v>91</v>
      </c>
      <c r="L13" s="8">
        <v>2023</v>
      </c>
      <c r="M13" s="9">
        <v>45060</v>
      </c>
      <c r="O13" s="25" t="s">
        <v>163</v>
      </c>
      <c r="P13" s="26" t="s">
        <v>19</v>
      </c>
    </row>
    <row r="14" spans="2:16" ht="29">
      <c r="B14" s="7" t="s">
        <v>110</v>
      </c>
      <c r="C14" s="7" t="s">
        <v>111</v>
      </c>
      <c r="D14" s="7" t="s">
        <v>74</v>
      </c>
      <c r="E14" s="7" t="s">
        <v>88</v>
      </c>
      <c r="F14" s="7" t="s">
        <v>76</v>
      </c>
      <c r="G14" s="8">
        <v>150000</v>
      </c>
      <c r="H14" s="8">
        <v>5</v>
      </c>
      <c r="I14" s="9">
        <v>46055</v>
      </c>
      <c r="J14" s="7" t="s">
        <v>84</v>
      </c>
      <c r="K14" s="7" t="s">
        <v>78</v>
      </c>
      <c r="L14" s="8">
        <v>2020</v>
      </c>
      <c r="M14" s="9">
        <v>43860</v>
      </c>
      <c r="O14" s="13" t="s">
        <v>99</v>
      </c>
      <c r="P14" s="13">
        <f>_xlfn.XLOOKUP(O14,B3:B23,G3:G23,"Sales not found",0)</f>
        <v>28000</v>
      </c>
    </row>
    <row r="15" spans="2:16" ht="29">
      <c r="B15" s="7" t="s">
        <v>112</v>
      </c>
      <c r="C15" s="7" t="s">
        <v>113</v>
      </c>
      <c r="D15" s="7" t="s">
        <v>81</v>
      </c>
      <c r="E15" s="7" t="s">
        <v>95</v>
      </c>
      <c r="F15" s="7" t="s">
        <v>89</v>
      </c>
      <c r="G15" s="8">
        <v>50000</v>
      </c>
      <c r="H15" s="8">
        <v>6</v>
      </c>
      <c r="I15" s="9">
        <v>46058</v>
      </c>
      <c r="J15" s="7" t="s">
        <v>77</v>
      </c>
      <c r="K15" s="7" t="s">
        <v>85</v>
      </c>
      <c r="L15" s="8">
        <v>2024</v>
      </c>
      <c r="M15" s="9">
        <v>45489</v>
      </c>
    </row>
    <row r="16" spans="2:16">
      <c r="B16" s="7" t="s">
        <v>114</v>
      </c>
      <c r="C16" s="7" t="s">
        <v>115</v>
      </c>
      <c r="D16" s="7" t="s">
        <v>101</v>
      </c>
      <c r="E16" s="7" t="s">
        <v>75</v>
      </c>
      <c r="F16" s="7" t="s">
        <v>83</v>
      </c>
      <c r="G16" s="8">
        <v>38000</v>
      </c>
      <c r="H16" s="8">
        <v>4</v>
      </c>
      <c r="I16" s="9">
        <v>46061</v>
      </c>
      <c r="J16" s="7" t="s">
        <v>90</v>
      </c>
      <c r="K16" s="7" t="s">
        <v>91</v>
      </c>
      <c r="L16" s="8">
        <v>2026</v>
      </c>
      <c r="M16" s="9">
        <v>46084</v>
      </c>
    </row>
    <row r="17" spans="2:16" ht="29">
      <c r="B17" s="7" t="s">
        <v>116</v>
      </c>
      <c r="C17" s="7" t="s">
        <v>117</v>
      </c>
      <c r="D17" s="7" t="s">
        <v>74</v>
      </c>
      <c r="E17" s="7" t="s">
        <v>82</v>
      </c>
      <c r="F17" s="7" t="s">
        <v>76</v>
      </c>
      <c r="G17" s="8">
        <v>105000</v>
      </c>
      <c r="H17" s="8">
        <v>3</v>
      </c>
      <c r="I17" s="9">
        <v>46064</v>
      </c>
      <c r="J17" s="7" t="s">
        <v>77</v>
      </c>
      <c r="K17" s="7" t="s">
        <v>78</v>
      </c>
      <c r="L17" s="8">
        <v>2023</v>
      </c>
      <c r="M17" s="9">
        <v>45220</v>
      </c>
      <c r="O17" s="25" t="s">
        <v>163</v>
      </c>
      <c r="P17" s="25" t="s">
        <v>165</v>
      </c>
    </row>
    <row r="18" spans="2:16" ht="29">
      <c r="B18" s="7" t="s">
        <v>118</v>
      </c>
      <c r="C18" s="7" t="s">
        <v>119</v>
      </c>
      <c r="D18" s="7" t="s">
        <v>94</v>
      </c>
      <c r="E18" s="7" t="s">
        <v>88</v>
      </c>
      <c r="F18" s="7" t="s">
        <v>89</v>
      </c>
      <c r="G18" s="8">
        <v>33000</v>
      </c>
      <c r="H18" s="8">
        <v>3</v>
      </c>
      <c r="I18" s="9">
        <v>46067</v>
      </c>
      <c r="J18" s="7" t="s">
        <v>98</v>
      </c>
      <c r="K18" s="7" t="s">
        <v>85</v>
      </c>
      <c r="L18" s="8">
        <v>2020</v>
      </c>
      <c r="M18" s="9">
        <v>44085</v>
      </c>
      <c r="O18" s="13" t="s">
        <v>99</v>
      </c>
      <c r="P18" s="13" t="str">
        <f>_xlfn.XLOOKUP(O18,B3:B23,K3:K23,"Rating not found",0)</f>
        <v>Average</v>
      </c>
    </row>
    <row r="19" spans="2:16" ht="29">
      <c r="B19" s="7" t="s">
        <v>120</v>
      </c>
      <c r="C19" s="7" t="s">
        <v>121</v>
      </c>
      <c r="D19" s="7" t="s">
        <v>81</v>
      </c>
      <c r="E19" s="7" t="s">
        <v>75</v>
      </c>
      <c r="F19" s="7" t="s">
        <v>83</v>
      </c>
      <c r="G19" s="8">
        <v>48000</v>
      </c>
      <c r="H19" s="8">
        <v>5</v>
      </c>
      <c r="I19" s="9">
        <v>46070</v>
      </c>
      <c r="J19" s="7" t="s">
        <v>84</v>
      </c>
      <c r="K19" s="7" t="s">
        <v>85</v>
      </c>
      <c r="L19" s="8">
        <v>2024</v>
      </c>
      <c r="M19" s="9">
        <v>45409</v>
      </c>
    </row>
    <row r="20" spans="2:16">
      <c r="B20" s="7" t="s">
        <v>122</v>
      </c>
      <c r="C20" s="7" t="s">
        <v>123</v>
      </c>
      <c r="D20" s="7" t="s">
        <v>74</v>
      </c>
      <c r="E20" s="7" t="s">
        <v>95</v>
      </c>
      <c r="F20" s="7" t="s">
        <v>76</v>
      </c>
      <c r="G20" s="8">
        <v>88000</v>
      </c>
      <c r="H20" s="8">
        <v>2</v>
      </c>
      <c r="I20" s="9">
        <v>46073</v>
      </c>
      <c r="J20" s="7" t="s">
        <v>77</v>
      </c>
      <c r="K20" s="7" t="s">
        <v>78</v>
      </c>
      <c r="L20" s="8">
        <v>2023</v>
      </c>
      <c r="M20" s="9">
        <v>45083</v>
      </c>
    </row>
    <row r="21" spans="2:16">
      <c r="B21" s="7" t="s">
        <v>124</v>
      </c>
      <c r="C21" s="7" t="s">
        <v>125</v>
      </c>
      <c r="D21" s="7" t="s">
        <v>101</v>
      </c>
      <c r="E21" s="7" t="s">
        <v>82</v>
      </c>
      <c r="F21" s="7" t="s">
        <v>89</v>
      </c>
      <c r="G21" s="8">
        <v>26000</v>
      </c>
      <c r="H21" s="8">
        <v>2</v>
      </c>
      <c r="I21" s="9">
        <v>46076</v>
      </c>
      <c r="J21" s="7" t="s">
        <v>90</v>
      </c>
      <c r="K21" s="7" t="s">
        <v>91</v>
      </c>
      <c r="L21" s="8">
        <v>2020</v>
      </c>
      <c r="M21" s="9">
        <v>44184</v>
      </c>
    </row>
    <row r="22" spans="2:16" ht="29">
      <c r="B22" s="7" t="s">
        <v>126</v>
      </c>
      <c r="C22" s="7" t="s">
        <v>127</v>
      </c>
      <c r="D22" s="7" t="s">
        <v>74</v>
      </c>
      <c r="E22" s="7" t="s">
        <v>88</v>
      </c>
      <c r="F22" s="7" t="s">
        <v>83</v>
      </c>
      <c r="G22" s="8">
        <v>61000</v>
      </c>
      <c r="H22" s="8">
        <v>7</v>
      </c>
      <c r="I22" s="9">
        <v>46078</v>
      </c>
      <c r="J22" s="7" t="s">
        <v>98</v>
      </c>
      <c r="K22" s="7" t="s">
        <v>85</v>
      </c>
      <c r="L22" s="8">
        <v>2026</v>
      </c>
      <c r="M22" s="9">
        <v>46127</v>
      </c>
    </row>
    <row r="23" spans="2:16" ht="29">
      <c r="B23" s="7" t="s">
        <v>128</v>
      </c>
      <c r="C23" s="7" t="s">
        <v>129</v>
      </c>
      <c r="D23" s="7" t="s">
        <v>81</v>
      </c>
      <c r="E23" s="7" t="s">
        <v>95</v>
      </c>
      <c r="F23" s="7" t="s">
        <v>76</v>
      </c>
      <c r="G23" s="8">
        <v>132000</v>
      </c>
      <c r="H23" s="8">
        <v>4</v>
      </c>
      <c r="I23" s="9">
        <v>46081</v>
      </c>
      <c r="J23" s="7" t="s">
        <v>77</v>
      </c>
      <c r="K23" s="7" t="s">
        <v>78</v>
      </c>
      <c r="L23" s="8">
        <v>2024</v>
      </c>
      <c r="M23" s="9">
        <v>45574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BF6E-5411-4CA0-B7C2-9A503E738131}">
  <sheetPr codeName="Sheet9"/>
  <dimension ref="A3:B30"/>
  <sheetViews>
    <sheetView topLeftCell="A7" workbookViewId="0">
      <selection activeCell="F21" sqref="F21"/>
    </sheetView>
  </sheetViews>
  <sheetFormatPr defaultRowHeight="14.5"/>
  <cols>
    <col min="1" max="1" width="18.7265625" bestFit="1" customWidth="1"/>
    <col min="2" max="2" width="15.26953125" bestFit="1" customWidth="1"/>
    <col min="3" max="4" width="6.81640625" bestFit="1" customWidth="1"/>
    <col min="5" max="5" width="10.7265625" bestFit="1" customWidth="1"/>
    <col min="6" max="6" width="11.36328125" bestFit="1" customWidth="1"/>
    <col min="7" max="7" width="8.453125" bestFit="1" customWidth="1"/>
    <col min="8" max="8" width="6.81640625" bestFit="1" customWidth="1"/>
    <col min="9" max="10" width="5.81640625" bestFit="1" customWidth="1"/>
    <col min="11" max="11" width="11.36328125" bestFit="1" customWidth="1"/>
    <col min="12" max="12" width="7.90625" bestFit="1" customWidth="1"/>
    <col min="13" max="15" width="5.81640625" bestFit="1" customWidth="1"/>
    <col min="16" max="16" width="10.81640625" bestFit="1" customWidth="1"/>
    <col min="17" max="17" width="10.7265625" bestFit="1" customWidth="1"/>
    <col min="18" max="20" width="15.26953125" bestFit="1" customWidth="1"/>
    <col min="21" max="22" width="10.7265625" bestFit="1" customWidth="1"/>
  </cols>
  <sheetData>
    <row r="3" spans="1:2">
      <c r="A3" s="16" t="s">
        <v>140</v>
      </c>
      <c r="B3" t="s">
        <v>142</v>
      </c>
    </row>
    <row r="4" spans="1:2">
      <c r="A4" s="17" t="s">
        <v>111</v>
      </c>
      <c r="B4">
        <v>150000</v>
      </c>
    </row>
    <row r="5" spans="1:2">
      <c r="A5" s="17" t="s">
        <v>129</v>
      </c>
      <c r="B5">
        <v>132000</v>
      </c>
    </row>
    <row r="6" spans="1:2">
      <c r="A6" s="17" t="s">
        <v>103</v>
      </c>
      <c r="B6">
        <v>120000</v>
      </c>
    </row>
    <row r="7" spans="1:2">
      <c r="A7" s="17" t="s">
        <v>117</v>
      </c>
      <c r="B7">
        <v>105000</v>
      </c>
    </row>
    <row r="8" spans="1:2">
      <c r="A8" s="17" t="s">
        <v>93</v>
      </c>
      <c r="B8">
        <v>90000</v>
      </c>
    </row>
    <row r="9" spans="1:2">
      <c r="A9" s="17" t="s">
        <v>123</v>
      </c>
      <c r="B9">
        <v>88000</v>
      </c>
    </row>
    <row r="10" spans="1:2">
      <c r="A10" s="17" t="s">
        <v>73</v>
      </c>
      <c r="B10">
        <v>75000</v>
      </c>
    </row>
    <row r="11" spans="1:2">
      <c r="A11" s="17" t="s">
        <v>127</v>
      </c>
      <c r="B11">
        <v>61000</v>
      </c>
    </row>
    <row r="12" spans="1:2">
      <c r="A12" s="17" t="s">
        <v>97</v>
      </c>
      <c r="B12">
        <v>54000</v>
      </c>
    </row>
    <row r="13" spans="1:2">
      <c r="A13" s="17" t="s">
        <v>113</v>
      </c>
      <c r="B13">
        <v>50000</v>
      </c>
    </row>
    <row r="14" spans="1:2">
      <c r="A14" s="17" t="s">
        <v>121</v>
      </c>
      <c r="B14">
        <v>48000</v>
      </c>
    </row>
    <row r="15" spans="1:2">
      <c r="A15" s="17" t="s">
        <v>80</v>
      </c>
      <c r="B15">
        <v>45000</v>
      </c>
    </row>
    <row r="16" spans="1:2">
      <c r="A16" s="17" t="s">
        <v>107</v>
      </c>
      <c r="B16">
        <v>42000</v>
      </c>
    </row>
    <row r="17" spans="1:2">
      <c r="A17" s="17" t="s">
        <v>115</v>
      </c>
      <c r="B17">
        <v>38000</v>
      </c>
    </row>
    <row r="18" spans="1:2">
      <c r="A18" s="17" t="s">
        <v>87</v>
      </c>
      <c r="B18">
        <v>36000</v>
      </c>
    </row>
    <row r="19" spans="1:2">
      <c r="A19" s="17" t="s">
        <v>119</v>
      </c>
      <c r="B19">
        <v>33000</v>
      </c>
    </row>
    <row r="20" spans="1:2">
      <c r="A20" s="17" t="s">
        <v>105</v>
      </c>
      <c r="B20">
        <v>32000</v>
      </c>
    </row>
    <row r="21" spans="1:2">
      <c r="A21" s="17" t="s">
        <v>100</v>
      </c>
      <c r="B21">
        <v>28000</v>
      </c>
    </row>
    <row r="22" spans="1:2">
      <c r="A22" s="17" t="s">
        <v>109</v>
      </c>
      <c r="B22">
        <v>27000</v>
      </c>
    </row>
    <row r="23" spans="1:2">
      <c r="A23" s="17" t="s">
        <v>125</v>
      </c>
      <c r="B23">
        <v>26000</v>
      </c>
    </row>
    <row r="24" spans="1:2">
      <c r="A24" s="17" t="s">
        <v>141</v>
      </c>
      <c r="B24">
        <v>1280000</v>
      </c>
    </row>
    <row r="28" spans="1:2">
      <c r="A28" s="17" t="s">
        <v>171</v>
      </c>
    </row>
    <row r="29" spans="1:2">
      <c r="A29" s="17" t="s">
        <v>172</v>
      </c>
    </row>
    <row r="30" spans="1:2">
      <c r="A30" s="17" t="s">
        <v>173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18CC3-D247-46C4-8ECE-933E2BF1B50C}">
  <sheetPr codeName="Sheet6"/>
  <dimension ref="A3:B8"/>
  <sheetViews>
    <sheetView workbookViewId="0">
      <selection activeCell="H10" sqref="H10"/>
    </sheetView>
  </sheetViews>
  <sheetFormatPr defaultRowHeight="14.5"/>
  <cols>
    <col min="1" max="1" width="12.36328125" bestFit="1" customWidth="1"/>
    <col min="2" max="2" width="18.7265625" bestFit="1" customWidth="1"/>
  </cols>
  <sheetData>
    <row r="3" spans="1:2">
      <c r="A3" s="16" t="s">
        <v>140</v>
      </c>
      <c r="B3" t="s">
        <v>142</v>
      </c>
    </row>
    <row r="4" spans="1:2">
      <c r="A4" s="17" t="s">
        <v>88</v>
      </c>
      <c r="B4">
        <v>400000</v>
      </c>
    </row>
    <row r="5" spans="1:2">
      <c r="A5" s="17" t="s">
        <v>75</v>
      </c>
      <c r="B5">
        <v>216000</v>
      </c>
    </row>
    <row r="6" spans="1:2">
      <c r="A6" s="17" t="s">
        <v>82</v>
      </c>
      <c r="B6">
        <v>272000</v>
      </c>
    </row>
    <row r="7" spans="1:2">
      <c r="A7" s="17" t="s">
        <v>95</v>
      </c>
      <c r="B7">
        <v>392000</v>
      </c>
    </row>
    <row r="8" spans="1:2">
      <c r="A8" s="17" t="s">
        <v>141</v>
      </c>
      <c r="B8">
        <v>1280000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7637-126F-4433-AFD2-F7AF2A4EE153}">
  <sheetPr codeName="Sheet7"/>
  <dimension ref="A3:B7"/>
  <sheetViews>
    <sheetView workbookViewId="0">
      <selection activeCell="A3" sqref="A3:B7"/>
    </sheetView>
  </sheetViews>
  <sheetFormatPr defaultRowHeight="14.5"/>
  <cols>
    <col min="1" max="1" width="12.36328125" bestFit="1" customWidth="1"/>
    <col min="2" max="2" width="18.7265625" bestFit="1" customWidth="1"/>
  </cols>
  <sheetData>
    <row r="3" spans="1:2">
      <c r="A3" s="16" t="s">
        <v>140</v>
      </c>
      <c r="B3" t="s">
        <v>142</v>
      </c>
    </row>
    <row r="4" spans="1:2">
      <c r="A4" s="17" t="s">
        <v>76</v>
      </c>
      <c r="B4">
        <v>760000</v>
      </c>
    </row>
    <row r="5" spans="1:2">
      <c r="A5" s="17" t="s">
        <v>83</v>
      </c>
      <c r="B5">
        <v>305000</v>
      </c>
    </row>
    <row r="6" spans="1:2">
      <c r="A6" s="17" t="s">
        <v>89</v>
      </c>
      <c r="B6">
        <v>215000</v>
      </c>
    </row>
    <row r="7" spans="1:2">
      <c r="A7" s="17" t="s">
        <v>141</v>
      </c>
      <c r="B7">
        <v>1280000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CE6A0-DC52-4B24-AB8B-E666F56A5CF9}">
  <sheetPr codeName="Sheet8"/>
  <dimension ref="A3:B24"/>
  <sheetViews>
    <sheetView workbookViewId="0">
      <selection activeCell="F14" sqref="F14:F15"/>
    </sheetView>
  </sheetViews>
  <sheetFormatPr defaultRowHeight="14.5"/>
  <cols>
    <col min="1" max="1" width="12.36328125" bestFit="1" customWidth="1"/>
    <col min="2" max="2" width="18.7265625" bestFit="1" customWidth="1"/>
  </cols>
  <sheetData>
    <row r="3" spans="1:2">
      <c r="A3" s="16" t="s">
        <v>140</v>
      </c>
      <c r="B3" t="s">
        <v>142</v>
      </c>
    </row>
    <row r="4" spans="1:2">
      <c r="A4" s="17" t="s">
        <v>121</v>
      </c>
      <c r="B4">
        <v>48000</v>
      </c>
    </row>
    <row r="5" spans="1:2">
      <c r="A5" s="17" t="s">
        <v>111</v>
      </c>
      <c r="B5">
        <v>150000</v>
      </c>
    </row>
    <row r="6" spans="1:2">
      <c r="A6" s="17" t="s">
        <v>100</v>
      </c>
      <c r="B6">
        <v>28000</v>
      </c>
    </row>
    <row r="7" spans="1:2">
      <c r="A7" s="17" t="s">
        <v>87</v>
      </c>
      <c r="B7">
        <v>36000</v>
      </c>
    </row>
    <row r="8" spans="1:2">
      <c r="A8" s="17" t="s">
        <v>105</v>
      </c>
      <c r="B8">
        <v>32000</v>
      </c>
    </row>
    <row r="9" spans="1:2">
      <c r="A9" s="17" t="s">
        <v>127</v>
      </c>
      <c r="B9">
        <v>61000</v>
      </c>
    </row>
    <row r="10" spans="1:2">
      <c r="A10" s="17" t="s">
        <v>117</v>
      </c>
      <c r="B10">
        <v>105000</v>
      </c>
    </row>
    <row r="11" spans="1:2">
      <c r="A11" s="17" t="s">
        <v>97</v>
      </c>
      <c r="B11">
        <v>54000</v>
      </c>
    </row>
    <row r="12" spans="1:2">
      <c r="A12" s="17" t="s">
        <v>123</v>
      </c>
      <c r="B12">
        <v>88000</v>
      </c>
    </row>
    <row r="13" spans="1:2">
      <c r="A13" s="17" t="s">
        <v>109</v>
      </c>
      <c r="B13">
        <v>27000</v>
      </c>
    </row>
    <row r="14" spans="1:2">
      <c r="A14" s="17" t="s">
        <v>119</v>
      </c>
      <c r="B14">
        <v>33000</v>
      </c>
    </row>
    <row r="15" spans="1:2">
      <c r="A15" s="17" t="s">
        <v>129</v>
      </c>
      <c r="B15">
        <v>132000</v>
      </c>
    </row>
    <row r="16" spans="1:2">
      <c r="A16" s="17" t="s">
        <v>113</v>
      </c>
      <c r="B16">
        <v>50000</v>
      </c>
    </row>
    <row r="17" spans="1:2">
      <c r="A17" s="17" t="s">
        <v>80</v>
      </c>
      <c r="B17">
        <v>45000</v>
      </c>
    </row>
    <row r="18" spans="1:2">
      <c r="A18" s="17" t="s">
        <v>73</v>
      </c>
      <c r="B18">
        <v>75000</v>
      </c>
    </row>
    <row r="19" spans="1:2">
      <c r="A19" s="17" t="s">
        <v>107</v>
      </c>
      <c r="B19">
        <v>42000</v>
      </c>
    </row>
    <row r="20" spans="1:2">
      <c r="A20" s="17" t="s">
        <v>115</v>
      </c>
      <c r="B20">
        <v>38000</v>
      </c>
    </row>
    <row r="21" spans="1:2">
      <c r="A21" s="17" t="s">
        <v>93</v>
      </c>
      <c r="B21">
        <v>90000</v>
      </c>
    </row>
    <row r="22" spans="1:2">
      <c r="A22" s="17" t="s">
        <v>125</v>
      </c>
      <c r="B22">
        <v>26000</v>
      </c>
    </row>
    <row r="23" spans="1:2">
      <c r="A23" s="17" t="s">
        <v>103</v>
      </c>
      <c r="B23">
        <v>120000</v>
      </c>
    </row>
    <row r="24" spans="1:2">
      <c r="A24" s="17" t="s">
        <v>141</v>
      </c>
      <c r="B24">
        <v>1280000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B53FC-9607-4934-93C9-27D3EFBBD3A4}">
  <sheetPr codeName="Sheet5"/>
  <dimension ref="A3:M106"/>
  <sheetViews>
    <sheetView topLeftCell="A28" workbookViewId="0">
      <selection activeCell="E41" sqref="E41"/>
    </sheetView>
  </sheetViews>
  <sheetFormatPr defaultRowHeight="14.5"/>
  <cols>
    <col min="2" max="2" width="14.08984375" customWidth="1"/>
    <col min="3" max="3" width="18.6328125" customWidth="1"/>
    <col min="9" max="9" width="9.08984375" bestFit="1" customWidth="1"/>
    <col min="13" max="13" width="9.7265625" bestFit="1" customWidth="1"/>
  </cols>
  <sheetData>
    <row r="3" spans="2:13" ht="43.5">
      <c r="B3" s="10" t="s">
        <v>65</v>
      </c>
      <c r="C3" s="10" t="s">
        <v>16</v>
      </c>
      <c r="D3" s="10" t="s">
        <v>17</v>
      </c>
      <c r="E3" s="10" t="s">
        <v>18</v>
      </c>
      <c r="F3" s="10" t="s">
        <v>66</v>
      </c>
      <c r="G3" s="11" t="s">
        <v>19</v>
      </c>
      <c r="H3" s="11" t="s">
        <v>67</v>
      </c>
      <c r="I3" s="10" t="s">
        <v>68</v>
      </c>
      <c r="J3" s="10" t="s">
        <v>69</v>
      </c>
      <c r="K3" s="10" t="s">
        <v>20</v>
      </c>
      <c r="L3" s="11" t="s">
        <v>70</v>
      </c>
      <c r="M3" s="10" t="s">
        <v>71</v>
      </c>
    </row>
    <row r="4" spans="2:13">
      <c r="B4" s="7" t="s">
        <v>72</v>
      </c>
      <c r="C4" s="7" t="s">
        <v>73</v>
      </c>
      <c r="D4" s="7" t="s">
        <v>74</v>
      </c>
      <c r="E4" s="7" t="s">
        <v>75</v>
      </c>
      <c r="F4" s="7" t="s">
        <v>76</v>
      </c>
      <c r="G4" s="8">
        <v>75000</v>
      </c>
      <c r="H4" s="8">
        <v>3</v>
      </c>
      <c r="I4" s="9">
        <v>46027</v>
      </c>
      <c r="J4" s="7" t="s">
        <v>77</v>
      </c>
      <c r="K4" s="7" t="s">
        <v>78</v>
      </c>
      <c r="L4" s="8">
        <v>2024</v>
      </c>
      <c r="M4" s="9">
        <v>45458</v>
      </c>
    </row>
    <row r="5" spans="2:13" ht="29">
      <c r="B5" s="7" t="s">
        <v>79</v>
      </c>
      <c r="C5" s="7" t="s">
        <v>80</v>
      </c>
      <c r="D5" s="7" t="s">
        <v>81</v>
      </c>
      <c r="E5" s="7" t="s">
        <v>82</v>
      </c>
      <c r="F5" s="7" t="s">
        <v>83</v>
      </c>
      <c r="G5" s="8">
        <v>45000</v>
      </c>
      <c r="H5" s="8">
        <v>5</v>
      </c>
      <c r="I5" s="9">
        <v>46029</v>
      </c>
      <c r="J5" s="7" t="s">
        <v>84</v>
      </c>
      <c r="K5" s="7" t="s">
        <v>85</v>
      </c>
      <c r="L5" s="8">
        <v>2023</v>
      </c>
      <c r="M5" s="9">
        <v>45148</v>
      </c>
    </row>
    <row r="6" spans="2:13">
      <c r="B6" s="7" t="s">
        <v>86</v>
      </c>
      <c r="C6" s="7" t="s">
        <v>87</v>
      </c>
      <c r="D6" s="7" t="s">
        <v>74</v>
      </c>
      <c r="E6" s="7" t="s">
        <v>88</v>
      </c>
      <c r="F6" s="7" t="s">
        <v>89</v>
      </c>
      <c r="G6" s="8">
        <v>36000</v>
      </c>
      <c r="H6" s="8">
        <v>4</v>
      </c>
      <c r="I6" s="9">
        <v>46032</v>
      </c>
      <c r="J6" s="7" t="s">
        <v>90</v>
      </c>
      <c r="K6" s="7" t="s">
        <v>91</v>
      </c>
      <c r="L6" s="8">
        <v>2020</v>
      </c>
      <c r="M6" s="9">
        <v>43883</v>
      </c>
    </row>
    <row r="7" spans="2:13">
      <c r="B7" s="7" t="s">
        <v>92</v>
      </c>
      <c r="C7" s="7" t="s">
        <v>93</v>
      </c>
      <c r="D7" s="7" t="s">
        <v>94</v>
      </c>
      <c r="E7" s="7" t="s">
        <v>95</v>
      </c>
      <c r="F7" s="7" t="s">
        <v>76</v>
      </c>
      <c r="G7" s="8">
        <v>90000</v>
      </c>
      <c r="H7" s="8">
        <v>2</v>
      </c>
      <c r="I7" s="9">
        <v>46034</v>
      </c>
      <c r="J7" s="7" t="s">
        <v>77</v>
      </c>
      <c r="K7" s="7" t="s">
        <v>78</v>
      </c>
      <c r="L7" s="8">
        <v>2026</v>
      </c>
      <c r="M7" s="9">
        <v>46027</v>
      </c>
    </row>
    <row r="8" spans="2:13" ht="29">
      <c r="B8" s="7" t="s">
        <v>96</v>
      </c>
      <c r="C8" s="7" t="s">
        <v>97</v>
      </c>
      <c r="D8" s="7" t="s">
        <v>74</v>
      </c>
      <c r="E8" s="7" t="s">
        <v>82</v>
      </c>
      <c r="F8" s="7" t="s">
        <v>83</v>
      </c>
      <c r="G8" s="8">
        <v>54000</v>
      </c>
      <c r="H8" s="8">
        <v>6</v>
      </c>
      <c r="I8" s="9">
        <v>46037</v>
      </c>
      <c r="J8" s="7" t="s">
        <v>98</v>
      </c>
      <c r="K8" s="7" t="s">
        <v>85</v>
      </c>
      <c r="L8" s="8">
        <v>2024</v>
      </c>
      <c r="M8" s="9">
        <v>45553</v>
      </c>
    </row>
    <row r="9" spans="2:13">
      <c r="B9" s="7" t="s">
        <v>99</v>
      </c>
      <c r="C9" s="7" t="s">
        <v>100</v>
      </c>
      <c r="D9" s="7" t="s">
        <v>101</v>
      </c>
      <c r="E9" s="7" t="s">
        <v>75</v>
      </c>
      <c r="F9" s="7" t="s">
        <v>89</v>
      </c>
      <c r="G9" s="8">
        <v>28000</v>
      </c>
      <c r="H9" s="8">
        <v>3</v>
      </c>
      <c r="I9" s="9">
        <v>46040</v>
      </c>
      <c r="J9" s="7" t="s">
        <v>77</v>
      </c>
      <c r="K9" s="7" t="s">
        <v>91</v>
      </c>
      <c r="L9" s="8">
        <v>2023</v>
      </c>
      <c r="M9" s="9">
        <v>45010</v>
      </c>
    </row>
    <row r="10" spans="2:13" ht="29">
      <c r="B10" s="7" t="s">
        <v>102</v>
      </c>
      <c r="C10" s="7" t="s">
        <v>103</v>
      </c>
      <c r="D10" s="7" t="s">
        <v>81</v>
      </c>
      <c r="E10" s="7" t="s">
        <v>88</v>
      </c>
      <c r="F10" s="7" t="s">
        <v>76</v>
      </c>
      <c r="G10" s="8">
        <v>120000</v>
      </c>
      <c r="H10" s="8">
        <v>4</v>
      </c>
      <c r="I10" s="9">
        <v>46042</v>
      </c>
      <c r="J10" s="7" t="s">
        <v>84</v>
      </c>
      <c r="K10" s="7" t="s">
        <v>78</v>
      </c>
      <c r="L10" s="8">
        <v>2020</v>
      </c>
      <c r="M10" s="9">
        <v>44024</v>
      </c>
    </row>
    <row r="11" spans="2:13">
      <c r="B11" s="7" t="s">
        <v>104</v>
      </c>
      <c r="C11" s="7" t="s">
        <v>105</v>
      </c>
      <c r="D11" s="7" t="s">
        <v>74</v>
      </c>
      <c r="E11" s="7" t="s">
        <v>95</v>
      </c>
      <c r="F11" s="7" t="s">
        <v>83</v>
      </c>
      <c r="G11" s="8">
        <v>32000</v>
      </c>
      <c r="H11" s="8">
        <v>4</v>
      </c>
      <c r="I11" s="9">
        <v>46045</v>
      </c>
      <c r="J11" s="7" t="s">
        <v>90</v>
      </c>
      <c r="K11" s="7" t="s">
        <v>85</v>
      </c>
      <c r="L11" s="8">
        <v>2026</v>
      </c>
      <c r="M11" s="9">
        <v>46073</v>
      </c>
    </row>
    <row r="12" spans="2:13">
      <c r="B12" s="7" t="s">
        <v>106</v>
      </c>
      <c r="C12" s="7" t="s">
        <v>107</v>
      </c>
      <c r="D12" s="7" t="s">
        <v>101</v>
      </c>
      <c r="E12" s="7" t="s">
        <v>82</v>
      </c>
      <c r="F12" s="7" t="s">
        <v>89</v>
      </c>
      <c r="G12" s="8">
        <v>42000</v>
      </c>
      <c r="H12" s="8">
        <v>5</v>
      </c>
      <c r="I12" s="9">
        <v>46047</v>
      </c>
      <c r="J12" s="7" t="s">
        <v>77</v>
      </c>
      <c r="K12" s="7" t="s">
        <v>85</v>
      </c>
      <c r="L12" s="8">
        <v>2024</v>
      </c>
      <c r="M12" s="9">
        <v>45604</v>
      </c>
    </row>
    <row r="13" spans="2:13" ht="29">
      <c r="B13" s="7" t="s">
        <v>108</v>
      </c>
      <c r="C13" s="7" t="s">
        <v>109</v>
      </c>
      <c r="D13" s="7" t="s">
        <v>94</v>
      </c>
      <c r="E13" s="7" t="s">
        <v>75</v>
      </c>
      <c r="F13" s="7" t="s">
        <v>83</v>
      </c>
      <c r="G13" s="8">
        <v>27000</v>
      </c>
      <c r="H13" s="8">
        <v>3</v>
      </c>
      <c r="I13" s="9">
        <v>46050</v>
      </c>
      <c r="J13" s="7" t="s">
        <v>98</v>
      </c>
      <c r="K13" s="7" t="s">
        <v>91</v>
      </c>
      <c r="L13" s="8">
        <v>2023</v>
      </c>
      <c r="M13" s="9">
        <v>45060</v>
      </c>
    </row>
    <row r="14" spans="2:13" ht="29">
      <c r="B14" s="7" t="s">
        <v>110</v>
      </c>
      <c r="C14" s="7" t="s">
        <v>111</v>
      </c>
      <c r="D14" s="7" t="s">
        <v>74</v>
      </c>
      <c r="E14" s="7" t="s">
        <v>88</v>
      </c>
      <c r="F14" s="7" t="s">
        <v>76</v>
      </c>
      <c r="G14" s="8">
        <v>150000</v>
      </c>
      <c r="H14" s="8">
        <v>5</v>
      </c>
      <c r="I14" s="9">
        <v>46055</v>
      </c>
      <c r="J14" s="7" t="s">
        <v>84</v>
      </c>
      <c r="K14" s="7" t="s">
        <v>78</v>
      </c>
      <c r="L14" s="8">
        <v>2020</v>
      </c>
      <c r="M14" s="9">
        <v>43860</v>
      </c>
    </row>
    <row r="15" spans="2:13" ht="29">
      <c r="B15" s="7" t="s">
        <v>112</v>
      </c>
      <c r="C15" s="7" t="s">
        <v>113</v>
      </c>
      <c r="D15" s="7" t="s">
        <v>81</v>
      </c>
      <c r="E15" s="7" t="s">
        <v>95</v>
      </c>
      <c r="F15" s="7" t="s">
        <v>89</v>
      </c>
      <c r="G15" s="8">
        <v>50000</v>
      </c>
      <c r="H15" s="8">
        <v>6</v>
      </c>
      <c r="I15" s="9">
        <v>46058</v>
      </c>
      <c r="J15" s="7" t="s">
        <v>77</v>
      </c>
      <c r="K15" s="7" t="s">
        <v>85</v>
      </c>
      <c r="L15" s="8">
        <v>2024</v>
      </c>
      <c r="M15" s="9">
        <v>45489</v>
      </c>
    </row>
    <row r="16" spans="2:13">
      <c r="B16" s="7" t="s">
        <v>114</v>
      </c>
      <c r="C16" s="7" t="s">
        <v>115</v>
      </c>
      <c r="D16" s="7" t="s">
        <v>101</v>
      </c>
      <c r="E16" s="7" t="s">
        <v>75</v>
      </c>
      <c r="F16" s="7" t="s">
        <v>83</v>
      </c>
      <c r="G16" s="8">
        <v>38000</v>
      </c>
      <c r="H16" s="8">
        <v>4</v>
      </c>
      <c r="I16" s="9">
        <v>46061</v>
      </c>
      <c r="J16" s="7" t="s">
        <v>90</v>
      </c>
      <c r="K16" s="7" t="s">
        <v>91</v>
      </c>
      <c r="L16" s="8">
        <v>2026</v>
      </c>
      <c r="M16" s="9">
        <v>46084</v>
      </c>
    </row>
    <row r="17" spans="1:13">
      <c r="B17" s="7" t="s">
        <v>116</v>
      </c>
      <c r="C17" s="7" t="s">
        <v>117</v>
      </c>
      <c r="D17" s="7" t="s">
        <v>74</v>
      </c>
      <c r="E17" s="7" t="s">
        <v>82</v>
      </c>
      <c r="F17" s="7" t="s">
        <v>76</v>
      </c>
      <c r="G17" s="8">
        <v>105000</v>
      </c>
      <c r="H17" s="8">
        <v>3</v>
      </c>
      <c r="I17" s="9">
        <v>46064</v>
      </c>
      <c r="J17" s="7" t="s">
        <v>77</v>
      </c>
      <c r="K17" s="7" t="s">
        <v>78</v>
      </c>
      <c r="L17" s="8">
        <v>2023</v>
      </c>
      <c r="M17" s="9">
        <v>45220</v>
      </c>
    </row>
    <row r="18" spans="1:13" ht="29">
      <c r="B18" s="7" t="s">
        <v>118</v>
      </c>
      <c r="C18" s="7" t="s">
        <v>119</v>
      </c>
      <c r="D18" s="7" t="s">
        <v>94</v>
      </c>
      <c r="E18" s="7" t="s">
        <v>88</v>
      </c>
      <c r="F18" s="7" t="s">
        <v>89</v>
      </c>
      <c r="G18" s="8">
        <v>33000</v>
      </c>
      <c r="H18" s="8">
        <v>3</v>
      </c>
      <c r="I18" s="9">
        <v>46067</v>
      </c>
      <c r="J18" s="7" t="s">
        <v>98</v>
      </c>
      <c r="K18" s="7" t="s">
        <v>85</v>
      </c>
      <c r="L18" s="8">
        <v>2020</v>
      </c>
      <c r="M18" s="9">
        <v>44085</v>
      </c>
    </row>
    <row r="19" spans="1:13" ht="29">
      <c r="B19" s="7" t="s">
        <v>120</v>
      </c>
      <c r="C19" s="7" t="s">
        <v>121</v>
      </c>
      <c r="D19" s="7" t="s">
        <v>81</v>
      </c>
      <c r="E19" s="7" t="s">
        <v>75</v>
      </c>
      <c r="F19" s="7" t="s">
        <v>83</v>
      </c>
      <c r="G19" s="8">
        <v>48000</v>
      </c>
      <c r="H19" s="8">
        <v>5</v>
      </c>
      <c r="I19" s="9">
        <v>46070</v>
      </c>
      <c r="J19" s="7" t="s">
        <v>84</v>
      </c>
      <c r="K19" s="7" t="s">
        <v>85</v>
      </c>
      <c r="L19" s="8">
        <v>2024</v>
      </c>
      <c r="M19" s="9">
        <v>45409</v>
      </c>
    </row>
    <row r="20" spans="1:13">
      <c r="B20" s="7" t="s">
        <v>122</v>
      </c>
      <c r="C20" s="7" t="s">
        <v>123</v>
      </c>
      <c r="D20" s="7" t="s">
        <v>74</v>
      </c>
      <c r="E20" s="7" t="s">
        <v>95</v>
      </c>
      <c r="F20" s="7" t="s">
        <v>76</v>
      </c>
      <c r="G20" s="8">
        <v>88000</v>
      </c>
      <c r="H20" s="8">
        <v>2</v>
      </c>
      <c r="I20" s="9">
        <v>46073</v>
      </c>
      <c r="J20" s="7" t="s">
        <v>77</v>
      </c>
      <c r="K20" s="7" t="s">
        <v>78</v>
      </c>
      <c r="L20" s="8">
        <v>2023</v>
      </c>
      <c r="M20" s="9">
        <v>45083</v>
      </c>
    </row>
    <row r="21" spans="1:13">
      <c r="B21" s="7" t="s">
        <v>124</v>
      </c>
      <c r="C21" s="7" t="s">
        <v>125</v>
      </c>
      <c r="D21" s="7" t="s">
        <v>101</v>
      </c>
      <c r="E21" s="7" t="s">
        <v>82</v>
      </c>
      <c r="F21" s="7" t="s">
        <v>89</v>
      </c>
      <c r="G21" s="8">
        <v>26000</v>
      </c>
      <c r="H21" s="8">
        <v>2</v>
      </c>
      <c r="I21" s="9">
        <v>46076</v>
      </c>
      <c r="J21" s="7" t="s">
        <v>90</v>
      </c>
      <c r="K21" s="7" t="s">
        <v>91</v>
      </c>
      <c r="L21" s="8">
        <v>2020</v>
      </c>
      <c r="M21" s="9">
        <v>44184</v>
      </c>
    </row>
    <row r="22" spans="1:13" ht="29">
      <c r="B22" s="7" t="s">
        <v>126</v>
      </c>
      <c r="C22" s="7" t="s">
        <v>127</v>
      </c>
      <c r="D22" s="7" t="s">
        <v>74</v>
      </c>
      <c r="E22" s="7" t="s">
        <v>88</v>
      </c>
      <c r="F22" s="7" t="s">
        <v>83</v>
      </c>
      <c r="G22" s="8">
        <v>61000</v>
      </c>
      <c r="H22" s="8">
        <v>7</v>
      </c>
      <c r="I22" s="9">
        <v>46078</v>
      </c>
      <c r="J22" s="7" t="s">
        <v>98</v>
      </c>
      <c r="K22" s="7" t="s">
        <v>85</v>
      </c>
      <c r="L22" s="8">
        <v>2026</v>
      </c>
      <c r="M22" s="9">
        <v>46127</v>
      </c>
    </row>
    <row r="23" spans="1:13" ht="29">
      <c r="B23" s="7" t="s">
        <v>128</v>
      </c>
      <c r="C23" s="7" t="s">
        <v>129</v>
      </c>
      <c r="D23" s="7" t="s">
        <v>81</v>
      </c>
      <c r="E23" s="7" t="s">
        <v>95</v>
      </c>
      <c r="F23" s="7" t="s">
        <v>76</v>
      </c>
      <c r="G23" s="8">
        <v>132000</v>
      </c>
      <c r="H23" s="8">
        <v>4</v>
      </c>
      <c r="I23" s="9">
        <v>46081</v>
      </c>
      <c r="J23" s="7" t="s">
        <v>77</v>
      </c>
      <c r="K23" s="7" t="s">
        <v>78</v>
      </c>
      <c r="L23" s="8">
        <v>2024</v>
      </c>
      <c r="M23" s="9">
        <v>45574</v>
      </c>
    </row>
    <row r="28" spans="1:13">
      <c r="A28" s="14">
        <v>1</v>
      </c>
      <c r="B28" s="14" t="s">
        <v>167</v>
      </c>
    </row>
    <row r="29" spans="1:13" ht="29">
      <c r="B29" s="27" t="s">
        <v>168</v>
      </c>
      <c r="C29" s="27" t="s">
        <v>142</v>
      </c>
    </row>
    <row r="30" spans="1:13">
      <c r="B30" s="13" t="s">
        <v>88</v>
      </c>
      <c r="C30" s="13">
        <v>400000</v>
      </c>
    </row>
    <row r="31" spans="1:13">
      <c r="B31" s="13" t="s">
        <v>75</v>
      </c>
      <c r="C31" s="13">
        <v>216000</v>
      </c>
    </row>
    <row r="32" spans="1:13">
      <c r="B32" s="13" t="s">
        <v>82</v>
      </c>
      <c r="C32" s="13">
        <v>272000</v>
      </c>
    </row>
    <row r="33" spans="1:3">
      <c r="B33" s="13" t="s">
        <v>95</v>
      </c>
      <c r="C33" s="13">
        <v>392000</v>
      </c>
    </row>
    <row r="34" spans="1:3">
      <c r="B34" s="21" t="s">
        <v>141</v>
      </c>
      <c r="C34" s="13">
        <v>1280000</v>
      </c>
    </row>
    <row r="37" spans="1:3">
      <c r="A37" s="14">
        <v>2</v>
      </c>
      <c r="B37" s="14" t="s">
        <v>169</v>
      </c>
    </row>
    <row r="38" spans="1:3" ht="29">
      <c r="B38" s="21" t="s">
        <v>66</v>
      </c>
      <c r="C38" s="27" t="s">
        <v>142</v>
      </c>
    </row>
    <row r="39" spans="1:3">
      <c r="B39" s="13" t="s">
        <v>76</v>
      </c>
      <c r="C39" s="13">
        <v>760000</v>
      </c>
    </row>
    <row r="40" spans="1:3">
      <c r="B40" s="13" t="s">
        <v>83</v>
      </c>
      <c r="C40" s="13">
        <v>305000</v>
      </c>
    </row>
    <row r="41" spans="1:3">
      <c r="B41" s="13" t="s">
        <v>89</v>
      </c>
      <c r="C41" s="13">
        <v>215000</v>
      </c>
    </row>
    <row r="42" spans="1:3">
      <c r="B42" s="21" t="s">
        <v>141</v>
      </c>
      <c r="C42" s="13">
        <v>1280000</v>
      </c>
    </row>
    <row r="45" spans="1:3">
      <c r="A45" s="14">
        <v>3</v>
      </c>
      <c r="B45" s="14" t="s">
        <v>170</v>
      </c>
    </row>
    <row r="47" spans="1:3" ht="29">
      <c r="B47" s="21" t="s">
        <v>135</v>
      </c>
      <c r="C47" s="27" t="s">
        <v>142</v>
      </c>
    </row>
    <row r="48" spans="1:3">
      <c r="B48" s="13" t="s">
        <v>121</v>
      </c>
      <c r="C48" s="13">
        <v>48000</v>
      </c>
    </row>
    <row r="49" spans="2:3">
      <c r="B49" s="13" t="s">
        <v>111</v>
      </c>
      <c r="C49" s="13">
        <v>150000</v>
      </c>
    </row>
    <row r="50" spans="2:3">
      <c r="B50" s="13" t="s">
        <v>100</v>
      </c>
      <c r="C50" s="13">
        <v>28000</v>
      </c>
    </row>
    <row r="51" spans="2:3">
      <c r="B51" s="13" t="s">
        <v>87</v>
      </c>
      <c r="C51" s="13">
        <v>36000</v>
      </c>
    </row>
    <row r="52" spans="2:3">
      <c r="B52" s="13" t="s">
        <v>105</v>
      </c>
      <c r="C52" s="13">
        <v>32000</v>
      </c>
    </row>
    <row r="53" spans="2:3">
      <c r="B53" s="13" t="s">
        <v>127</v>
      </c>
      <c r="C53" s="13">
        <v>61000</v>
      </c>
    </row>
    <row r="54" spans="2:3">
      <c r="B54" s="13" t="s">
        <v>117</v>
      </c>
      <c r="C54" s="13">
        <v>105000</v>
      </c>
    </row>
    <row r="55" spans="2:3">
      <c r="B55" s="13" t="s">
        <v>97</v>
      </c>
      <c r="C55" s="13">
        <v>54000</v>
      </c>
    </row>
    <row r="56" spans="2:3">
      <c r="B56" s="13" t="s">
        <v>123</v>
      </c>
      <c r="C56" s="13">
        <v>88000</v>
      </c>
    </row>
    <row r="57" spans="2:3">
      <c r="B57" s="13" t="s">
        <v>109</v>
      </c>
      <c r="C57" s="13">
        <v>27000</v>
      </c>
    </row>
    <row r="58" spans="2:3">
      <c r="B58" s="13" t="s">
        <v>119</v>
      </c>
      <c r="C58" s="13">
        <v>33000</v>
      </c>
    </row>
    <row r="59" spans="2:3">
      <c r="B59" s="13" t="s">
        <v>129</v>
      </c>
      <c r="C59" s="13">
        <v>132000</v>
      </c>
    </row>
    <row r="60" spans="2:3">
      <c r="B60" s="13" t="s">
        <v>113</v>
      </c>
      <c r="C60" s="13">
        <v>50000</v>
      </c>
    </row>
    <row r="61" spans="2:3">
      <c r="B61" s="13" t="s">
        <v>80</v>
      </c>
      <c r="C61" s="13">
        <v>45000</v>
      </c>
    </row>
    <row r="62" spans="2:3">
      <c r="B62" s="13" t="s">
        <v>73</v>
      </c>
      <c r="C62" s="13">
        <v>75000</v>
      </c>
    </row>
    <row r="63" spans="2:3">
      <c r="B63" s="13" t="s">
        <v>107</v>
      </c>
      <c r="C63" s="13">
        <v>42000</v>
      </c>
    </row>
    <row r="64" spans="2:3">
      <c r="B64" s="13" t="s">
        <v>115</v>
      </c>
      <c r="C64" s="13">
        <v>38000</v>
      </c>
    </row>
    <row r="65" spans="2:11">
      <c r="B65" s="13" t="s">
        <v>93</v>
      </c>
      <c r="C65" s="13">
        <v>90000</v>
      </c>
    </row>
    <row r="66" spans="2:11">
      <c r="B66" s="13" t="s">
        <v>125</v>
      </c>
      <c r="C66" s="13">
        <v>26000</v>
      </c>
    </row>
    <row r="67" spans="2:11">
      <c r="B67" s="13" t="s">
        <v>103</v>
      </c>
      <c r="C67" s="13">
        <v>120000</v>
      </c>
    </row>
    <row r="68" spans="2:11">
      <c r="B68" s="13" t="s">
        <v>141</v>
      </c>
      <c r="C68" s="13">
        <v>1280000</v>
      </c>
    </row>
    <row r="70" spans="2:11">
      <c r="J70" s="14" t="s">
        <v>28</v>
      </c>
    </row>
    <row r="71" spans="2:11">
      <c r="J71" s="28" t="s">
        <v>140</v>
      </c>
      <c r="K71" s="28" t="s">
        <v>142</v>
      </c>
    </row>
    <row r="72" spans="2:11">
      <c r="B72" t="s">
        <v>27</v>
      </c>
      <c r="J72" s="17" t="s">
        <v>88</v>
      </c>
      <c r="K72">
        <v>400000</v>
      </c>
    </row>
    <row r="73" spans="2:11">
      <c r="B73" s="1"/>
      <c r="J73" s="17" t="s">
        <v>75</v>
      </c>
      <c r="K73">
        <v>216000</v>
      </c>
    </row>
    <row r="74" spans="2:11">
      <c r="B74" s="1" t="s">
        <v>28</v>
      </c>
      <c r="D74" t="s">
        <v>174</v>
      </c>
      <c r="J74" s="17" t="s">
        <v>82</v>
      </c>
      <c r="K74">
        <v>272000</v>
      </c>
    </row>
    <row r="75" spans="2:11">
      <c r="B75" s="1"/>
      <c r="J75" s="17" t="s">
        <v>95</v>
      </c>
      <c r="K75">
        <v>392000</v>
      </c>
    </row>
    <row r="76" spans="2:11">
      <c r="B76" s="1"/>
      <c r="J76" s="17"/>
    </row>
    <row r="77" spans="2:11">
      <c r="B77" s="1" t="s">
        <v>29</v>
      </c>
      <c r="D77" t="s">
        <v>175</v>
      </c>
      <c r="J77" s="14" t="s">
        <v>29</v>
      </c>
    </row>
    <row r="78" spans="2:11">
      <c r="B78" s="1"/>
      <c r="J78" s="28" t="s">
        <v>140</v>
      </c>
      <c r="K78" s="28" t="s">
        <v>142</v>
      </c>
    </row>
    <row r="79" spans="2:11">
      <c r="B79" s="1" t="s">
        <v>30</v>
      </c>
      <c r="D79" t="s">
        <v>176</v>
      </c>
      <c r="J79" s="17" t="s">
        <v>76</v>
      </c>
      <c r="K79">
        <v>760000</v>
      </c>
    </row>
    <row r="80" spans="2:11">
      <c r="J80" s="17" t="s">
        <v>83</v>
      </c>
      <c r="K80">
        <v>305000</v>
      </c>
    </row>
    <row r="81" spans="10:11">
      <c r="J81" s="17" t="s">
        <v>89</v>
      </c>
      <c r="K81">
        <v>215000</v>
      </c>
    </row>
    <row r="84" spans="10:11">
      <c r="J84" t="s">
        <v>30</v>
      </c>
    </row>
    <row r="85" spans="10:11">
      <c r="J85" s="16" t="s">
        <v>140</v>
      </c>
      <c r="K85" t="s">
        <v>142</v>
      </c>
    </row>
    <row r="86" spans="10:11">
      <c r="J86" s="17" t="s">
        <v>111</v>
      </c>
      <c r="K86">
        <v>150000</v>
      </c>
    </row>
    <row r="87" spans="10:11">
      <c r="J87" s="17" t="s">
        <v>129</v>
      </c>
      <c r="K87">
        <v>132000</v>
      </c>
    </row>
    <row r="88" spans="10:11">
      <c r="J88" s="17" t="s">
        <v>103</v>
      </c>
      <c r="K88">
        <v>120000</v>
      </c>
    </row>
    <row r="89" spans="10:11">
      <c r="J89" s="17" t="s">
        <v>117</v>
      </c>
      <c r="K89">
        <v>105000</v>
      </c>
    </row>
    <row r="90" spans="10:11">
      <c r="J90" s="17" t="s">
        <v>93</v>
      </c>
      <c r="K90">
        <v>90000</v>
      </c>
    </row>
    <row r="91" spans="10:11">
      <c r="J91" s="17" t="s">
        <v>123</v>
      </c>
      <c r="K91">
        <v>88000</v>
      </c>
    </row>
    <row r="92" spans="10:11">
      <c r="J92" s="17" t="s">
        <v>73</v>
      </c>
      <c r="K92">
        <v>75000</v>
      </c>
    </row>
    <row r="93" spans="10:11">
      <c r="J93" s="17" t="s">
        <v>127</v>
      </c>
      <c r="K93">
        <v>61000</v>
      </c>
    </row>
    <row r="94" spans="10:11">
      <c r="J94" s="17" t="s">
        <v>97</v>
      </c>
      <c r="K94">
        <v>54000</v>
      </c>
    </row>
    <row r="95" spans="10:11">
      <c r="J95" s="17" t="s">
        <v>113</v>
      </c>
      <c r="K95">
        <v>50000</v>
      </c>
    </row>
    <row r="96" spans="10:11">
      <c r="J96" s="17" t="s">
        <v>121</v>
      </c>
      <c r="K96">
        <v>48000</v>
      </c>
    </row>
    <row r="97" spans="10:11">
      <c r="J97" s="17" t="s">
        <v>80</v>
      </c>
      <c r="K97">
        <v>45000</v>
      </c>
    </row>
    <row r="98" spans="10:11">
      <c r="J98" s="17" t="s">
        <v>107</v>
      </c>
      <c r="K98">
        <v>42000</v>
      </c>
    </row>
    <row r="99" spans="10:11">
      <c r="J99" s="17" t="s">
        <v>115</v>
      </c>
      <c r="K99">
        <v>38000</v>
      </c>
    </row>
    <row r="100" spans="10:11">
      <c r="J100" s="17" t="s">
        <v>87</v>
      </c>
      <c r="K100">
        <v>36000</v>
      </c>
    </row>
    <row r="101" spans="10:11">
      <c r="J101" s="17" t="s">
        <v>119</v>
      </c>
      <c r="K101">
        <v>33000</v>
      </c>
    </row>
    <row r="102" spans="10:11">
      <c r="J102" s="17" t="s">
        <v>105</v>
      </c>
      <c r="K102">
        <v>32000</v>
      </c>
    </row>
    <row r="103" spans="10:11">
      <c r="J103" s="17" t="s">
        <v>100</v>
      </c>
      <c r="K103">
        <v>28000</v>
      </c>
    </row>
    <row r="104" spans="10:11">
      <c r="J104" s="17" t="s">
        <v>109</v>
      </c>
      <c r="K104">
        <v>27000</v>
      </c>
    </row>
    <row r="105" spans="10:11">
      <c r="J105" s="17" t="s">
        <v>125</v>
      </c>
      <c r="K105">
        <v>26000</v>
      </c>
    </row>
    <row r="106" spans="10:11">
      <c r="J106" s="17" t="s">
        <v>141</v>
      </c>
      <c r="K106">
        <v>1280000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598-3474-4C9B-9085-97AE155C5807}">
  <sheetPr codeName="Sheet3"/>
  <dimension ref="A1:C39"/>
  <sheetViews>
    <sheetView topLeftCell="A34" workbookViewId="0">
      <selection activeCell="C36" sqref="C36"/>
    </sheetView>
  </sheetViews>
  <sheetFormatPr defaultRowHeight="14.5"/>
  <cols>
    <col min="2" max="2" width="15.6328125" customWidth="1"/>
    <col min="3" max="3" width="13.26953125" customWidth="1"/>
  </cols>
  <sheetData>
    <row r="1" spans="1:3" ht="29">
      <c r="A1" s="34" t="s">
        <v>181</v>
      </c>
      <c r="B1" s="34" t="s">
        <v>19</v>
      </c>
    </row>
    <row r="2" spans="1:3" ht="43.5">
      <c r="A2" s="7" t="s">
        <v>177</v>
      </c>
      <c r="B2" s="35">
        <v>500000</v>
      </c>
      <c r="C2" s="30"/>
    </row>
    <row r="3" spans="1:3" ht="43.5">
      <c r="A3" s="7" t="s">
        <v>178</v>
      </c>
      <c r="B3" s="36">
        <v>0</v>
      </c>
      <c r="C3" s="29"/>
    </row>
    <row r="4" spans="1:3" ht="43.5">
      <c r="A4" s="7" t="s">
        <v>179</v>
      </c>
      <c r="B4" s="37">
        <f>B2*(1+B3)</f>
        <v>500000</v>
      </c>
      <c r="C4" s="32"/>
    </row>
    <row r="5" spans="1:3" ht="29">
      <c r="A5" s="7" t="s">
        <v>180</v>
      </c>
      <c r="B5" s="35">
        <v>700000</v>
      </c>
      <c r="C5" s="33"/>
    </row>
    <row r="6" spans="1:3">
      <c r="B6" s="31"/>
      <c r="C6" s="29"/>
    </row>
    <row r="9" spans="1:3" ht="29">
      <c r="A9" s="34" t="s">
        <v>181</v>
      </c>
      <c r="B9" s="34" t="s">
        <v>19</v>
      </c>
    </row>
    <row r="10" spans="1:3" ht="43.5">
      <c r="A10" s="7" t="s">
        <v>177</v>
      </c>
      <c r="B10" s="35">
        <v>500000</v>
      </c>
    </row>
    <row r="11" spans="1:3" ht="43.5">
      <c r="A11" s="7" t="s">
        <v>178</v>
      </c>
      <c r="B11" s="38">
        <v>0.4</v>
      </c>
    </row>
    <row r="12" spans="1:3" ht="43.5">
      <c r="A12" s="7" t="s">
        <v>179</v>
      </c>
      <c r="B12" s="37">
        <f>B10*(1+B11)</f>
        <v>700000</v>
      </c>
    </row>
    <row r="13" spans="1:3">
      <c r="A13" s="7"/>
      <c r="B13" s="35"/>
    </row>
    <row r="17" spans="1:1">
      <c r="A17" t="s">
        <v>33</v>
      </c>
    </row>
    <row r="19" spans="1:1">
      <c r="A19" s="19" t="s">
        <v>185</v>
      </c>
    </row>
    <row r="20" spans="1:1">
      <c r="A20" s="1" t="s">
        <v>182</v>
      </c>
    </row>
    <row r="21" spans="1:1">
      <c r="A21" s="1"/>
    </row>
    <row r="22" spans="1:1">
      <c r="A22" t="s">
        <v>183</v>
      </c>
    </row>
    <row r="23" spans="1:1">
      <c r="A23" t="s">
        <v>184</v>
      </c>
    </row>
    <row r="25" spans="1:1">
      <c r="A25" s="19" t="s">
        <v>186</v>
      </c>
    </row>
    <row r="26" spans="1:1">
      <c r="A26" s="1" t="s">
        <v>37</v>
      </c>
    </row>
    <row r="27" spans="1:1">
      <c r="A27" s="1"/>
    </row>
    <row r="28" spans="1:1">
      <c r="A28" s="1" t="s">
        <v>38</v>
      </c>
    </row>
    <row r="29" spans="1:1">
      <c r="A29" s="1"/>
    </row>
    <row r="30" spans="1:1">
      <c r="A30" s="1" t="s">
        <v>39</v>
      </c>
    </row>
    <row r="31" spans="1:1">
      <c r="A31" s="1"/>
    </row>
    <row r="32" spans="1:1">
      <c r="A32" s="1" t="s">
        <v>40</v>
      </c>
    </row>
    <row r="34" spans="1:2">
      <c r="A34" s="19" t="s">
        <v>201</v>
      </c>
    </row>
    <row r="35" spans="1:2" ht="29">
      <c r="A35" s="34" t="s">
        <v>181</v>
      </c>
      <c r="B35" s="34" t="s">
        <v>19</v>
      </c>
    </row>
    <row r="36" spans="1:2" ht="43.5">
      <c r="A36" s="7" t="s">
        <v>177</v>
      </c>
      <c r="B36" s="35">
        <v>500000</v>
      </c>
    </row>
    <row r="37" spans="1:2" ht="43.5">
      <c r="A37" s="7" t="s">
        <v>178</v>
      </c>
      <c r="B37" s="36">
        <v>0</v>
      </c>
    </row>
    <row r="38" spans="1:2" ht="43.5">
      <c r="A38" s="7" t="s">
        <v>179</v>
      </c>
      <c r="B38" s="37">
        <f>B36*(1+B37)</f>
        <v>500000</v>
      </c>
    </row>
    <row r="39" spans="1:2">
      <c r="A39" s="7"/>
      <c r="B39" s="35"/>
    </row>
  </sheetData>
  <scenarios current="0" sqref="B38">
    <scenario name="5% increase" locked="1" count="1" user="Drishya Ashwin" comment="Created by Drishya Ashwin on 9/30/2026">
      <inputCells r="B37" val="0.05" numFmtId="9"/>
    </scenario>
    <scenario name="10% increase" locked="1" count="1" user="Drishya Ashwin" comment="Created by Drishya Ashwin on 9/30/2026">
      <inputCells r="B37" val="0.1" numFmtId="9"/>
    </scenario>
    <scenario name="15% increase" locked="1" count="1" user="Drishya Ashwin" comment="Created by Drishya Ashwin on 9/30/2026">
      <inputCells r="B37" val="0.15" numFmtId="9"/>
    </scenario>
    <scenario name="20% increase" locked="1" count="1" user="Drishya Ashwin" comment="Created by Drishya Ashwin on 9/30/2026">
      <inputCells r="B37" val="0.2" numFmtId="9"/>
    </scenario>
  </scenario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15A8-F660-4110-9923-145BB0F566B5}">
  <sheetPr codeName="Sheet4">
    <outlinePr summaryBelow="0"/>
  </sheetPr>
  <dimension ref="B1:H11"/>
  <sheetViews>
    <sheetView showGridLines="0" workbookViewId="0"/>
  </sheetViews>
  <sheetFormatPr defaultRowHeight="14.5" outlineLevelRow="1" outlineLevelCol="1"/>
  <cols>
    <col min="3" max="3" width="5.90625" bestFit="1" customWidth="1"/>
    <col min="4" max="8" width="12.54296875" bestFit="1" customWidth="1" outlineLevel="1"/>
  </cols>
  <sheetData>
    <row r="1" spans="2:8" ht="15" thickBot="1"/>
    <row r="2" spans="2:8" ht="15.5">
      <c r="B2" s="42" t="s">
        <v>194</v>
      </c>
      <c r="C2" s="42"/>
      <c r="D2" s="47"/>
      <c r="E2" s="47"/>
      <c r="F2" s="47"/>
      <c r="G2" s="47"/>
      <c r="H2" s="47"/>
    </row>
    <row r="3" spans="2:8" ht="15.5" collapsed="1">
      <c r="B3" s="41"/>
      <c r="C3" s="41"/>
      <c r="D3" s="48" t="s">
        <v>196</v>
      </c>
      <c r="E3" s="48" t="s">
        <v>189</v>
      </c>
      <c r="F3" s="48" t="s">
        <v>191</v>
      </c>
      <c r="G3" s="48" t="s">
        <v>192</v>
      </c>
      <c r="H3" s="48" t="s">
        <v>193</v>
      </c>
    </row>
    <row r="4" spans="2:8" ht="31.5" hidden="1" outlineLevel="1">
      <c r="B4" s="44"/>
      <c r="C4" s="44"/>
      <c r="E4" s="50" t="s">
        <v>190</v>
      </c>
      <c r="F4" s="50" t="s">
        <v>190</v>
      </c>
      <c r="G4" s="50" t="s">
        <v>190</v>
      </c>
      <c r="H4" s="50" t="s">
        <v>190</v>
      </c>
    </row>
    <row r="5" spans="2:8">
      <c r="B5" s="45" t="s">
        <v>195</v>
      </c>
      <c r="C5" s="45"/>
      <c r="D5" s="43"/>
      <c r="E5" s="43"/>
      <c r="F5" s="43"/>
      <c r="G5" s="43"/>
      <c r="H5" s="43"/>
    </row>
    <row r="6" spans="2:8" outlineLevel="1">
      <c r="B6" s="44"/>
      <c r="C6" s="44" t="s">
        <v>187</v>
      </c>
      <c r="D6" s="39">
        <v>0</v>
      </c>
      <c r="E6" s="49">
        <v>0.05</v>
      </c>
      <c r="F6" s="49">
        <v>0.1</v>
      </c>
      <c r="G6" s="49">
        <v>0.15</v>
      </c>
      <c r="H6" s="49">
        <v>0.2</v>
      </c>
    </row>
    <row r="7" spans="2:8">
      <c r="B7" s="45" t="s">
        <v>197</v>
      </c>
      <c r="C7" s="45"/>
      <c r="D7" s="43"/>
      <c r="E7" s="43"/>
      <c r="F7" s="43"/>
      <c r="G7" s="43"/>
      <c r="H7" s="43"/>
    </row>
    <row r="8" spans="2:8" ht="15" outlineLevel="1" thickBot="1">
      <c r="B8" s="46"/>
      <c r="C8" s="46" t="s">
        <v>188</v>
      </c>
      <c r="D8" s="40">
        <v>500000</v>
      </c>
      <c r="E8" s="40">
        <v>525000</v>
      </c>
      <c r="F8" s="40">
        <v>550000</v>
      </c>
      <c r="G8" s="40">
        <v>575000</v>
      </c>
      <c r="H8" s="40">
        <v>600000</v>
      </c>
    </row>
    <row r="9" spans="2:8">
      <c r="B9" t="s">
        <v>198</v>
      </c>
    </row>
    <row r="10" spans="2:8">
      <c r="B10" t="s">
        <v>199</v>
      </c>
    </row>
    <row r="11" spans="2:8">
      <c r="B11" t="s">
        <v>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DD8C-16EA-4ED9-9E7C-065414A6A682}">
  <sheetPr codeName="Sheet2"/>
  <dimension ref="A3:L87"/>
  <sheetViews>
    <sheetView topLeftCell="A72" workbookViewId="0">
      <selection activeCell="F42" sqref="F42"/>
    </sheetView>
  </sheetViews>
  <sheetFormatPr defaultRowHeight="14.5"/>
  <cols>
    <col min="2" max="2" width="25" customWidth="1"/>
    <col min="3" max="3" width="24.54296875" customWidth="1"/>
    <col min="8" max="8" width="12" customWidth="1"/>
    <col min="12" max="12" width="11.1796875" customWidth="1"/>
  </cols>
  <sheetData>
    <row r="3" spans="1:12" ht="43.5">
      <c r="A3" s="10" t="s">
        <v>65</v>
      </c>
      <c r="B3" s="10" t="s">
        <v>16</v>
      </c>
      <c r="C3" s="10" t="s">
        <v>17</v>
      </c>
      <c r="D3" s="10" t="s">
        <v>18</v>
      </c>
      <c r="E3" s="10" t="s">
        <v>66</v>
      </c>
      <c r="F3" s="11" t="s">
        <v>19</v>
      </c>
      <c r="G3" s="11" t="s">
        <v>67</v>
      </c>
      <c r="H3" s="10" t="s">
        <v>68</v>
      </c>
      <c r="I3" s="10" t="s">
        <v>69</v>
      </c>
      <c r="J3" s="10" t="s">
        <v>20</v>
      </c>
      <c r="K3" s="11" t="s">
        <v>70</v>
      </c>
      <c r="L3" s="10" t="s">
        <v>71</v>
      </c>
    </row>
    <row r="4" spans="1:12" ht="29">
      <c r="A4" s="7" t="s">
        <v>110</v>
      </c>
      <c r="B4" s="7" t="s">
        <v>111</v>
      </c>
      <c r="C4" s="7" t="s">
        <v>74</v>
      </c>
      <c r="D4" s="7" t="s">
        <v>88</v>
      </c>
      <c r="E4" s="7" t="s">
        <v>76</v>
      </c>
      <c r="F4" s="8">
        <v>150000</v>
      </c>
      <c r="G4" s="8">
        <v>5</v>
      </c>
      <c r="H4" s="9">
        <v>46055</v>
      </c>
      <c r="I4" s="7" t="s">
        <v>84</v>
      </c>
      <c r="J4" s="7" t="s">
        <v>78</v>
      </c>
      <c r="K4" s="8">
        <v>2020</v>
      </c>
      <c r="L4" s="9">
        <v>43860</v>
      </c>
    </row>
    <row r="5" spans="1:12">
      <c r="A5" s="7" t="s">
        <v>128</v>
      </c>
      <c r="B5" s="7" t="s">
        <v>129</v>
      </c>
      <c r="C5" s="7" t="s">
        <v>81</v>
      </c>
      <c r="D5" s="7" t="s">
        <v>95</v>
      </c>
      <c r="E5" s="7" t="s">
        <v>76</v>
      </c>
      <c r="F5" s="8">
        <v>132000</v>
      </c>
      <c r="G5" s="8">
        <v>4</v>
      </c>
      <c r="H5" s="9">
        <v>46081</v>
      </c>
      <c r="I5" s="7" t="s">
        <v>77</v>
      </c>
      <c r="J5" s="7" t="s">
        <v>78</v>
      </c>
      <c r="K5" s="8">
        <v>2024</v>
      </c>
      <c r="L5" s="9">
        <v>45574</v>
      </c>
    </row>
    <row r="6" spans="1:12" ht="29">
      <c r="A6" s="7" t="s">
        <v>102</v>
      </c>
      <c r="B6" s="7" t="s">
        <v>103</v>
      </c>
      <c r="C6" s="7" t="s">
        <v>81</v>
      </c>
      <c r="D6" s="7" t="s">
        <v>88</v>
      </c>
      <c r="E6" s="7" t="s">
        <v>76</v>
      </c>
      <c r="F6" s="8">
        <v>120000</v>
      </c>
      <c r="G6" s="8">
        <v>4</v>
      </c>
      <c r="H6" s="9">
        <v>46042</v>
      </c>
      <c r="I6" s="7" t="s">
        <v>84</v>
      </c>
      <c r="J6" s="7" t="s">
        <v>78</v>
      </c>
      <c r="K6" s="8">
        <v>2020</v>
      </c>
      <c r="L6" s="9">
        <v>44024</v>
      </c>
    </row>
    <row r="7" spans="1:12">
      <c r="A7" s="7" t="s">
        <v>116</v>
      </c>
      <c r="B7" s="7" t="s">
        <v>117</v>
      </c>
      <c r="C7" s="7" t="s">
        <v>74</v>
      </c>
      <c r="D7" s="7" t="s">
        <v>82</v>
      </c>
      <c r="E7" s="7" t="s">
        <v>76</v>
      </c>
      <c r="F7" s="8">
        <v>105000</v>
      </c>
      <c r="G7" s="8">
        <v>3</v>
      </c>
      <c r="H7" s="9">
        <v>46064</v>
      </c>
      <c r="I7" s="7" t="s">
        <v>77</v>
      </c>
      <c r="J7" s="7" t="s">
        <v>78</v>
      </c>
      <c r="K7" s="8">
        <v>2023</v>
      </c>
      <c r="L7" s="9">
        <v>45220</v>
      </c>
    </row>
    <row r="8" spans="1:12">
      <c r="A8" s="7" t="s">
        <v>92</v>
      </c>
      <c r="B8" s="7" t="s">
        <v>93</v>
      </c>
      <c r="C8" s="7" t="s">
        <v>94</v>
      </c>
      <c r="D8" s="7" t="s">
        <v>95</v>
      </c>
      <c r="E8" s="7" t="s">
        <v>76</v>
      </c>
      <c r="F8" s="8">
        <v>90000</v>
      </c>
      <c r="G8" s="8">
        <v>2</v>
      </c>
      <c r="H8" s="9">
        <v>46034</v>
      </c>
      <c r="I8" s="7" t="s">
        <v>77</v>
      </c>
      <c r="J8" s="7" t="s">
        <v>78</v>
      </c>
      <c r="K8" s="8">
        <v>2026</v>
      </c>
      <c r="L8" s="9">
        <v>46027</v>
      </c>
    </row>
    <row r="9" spans="1:12">
      <c r="A9" s="7" t="s">
        <v>122</v>
      </c>
      <c r="B9" s="7" t="s">
        <v>123</v>
      </c>
      <c r="C9" s="7" t="s">
        <v>74</v>
      </c>
      <c r="D9" s="7" t="s">
        <v>95</v>
      </c>
      <c r="E9" s="7" t="s">
        <v>76</v>
      </c>
      <c r="F9" s="8">
        <v>88000</v>
      </c>
      <c r="G9" s="8">
        <v>2</v>
      </c>
      <c r="H9" s="9">
        <v>46073</v>
      </c>
      <c r="I9" s="7" t="s">
        <v>77</v>
      </c>
      <c r="J9" s="7" t="s">
        <v>78</v>
      </c>
      <c r="K9" s="8">
        <v>2023</v>
      </c>
      <c r="L9" s="9">
        <v>45083</v>
      </c>
    </row>
    <row r="10" spans="1:12">
      <c r="A10" s="7" t="s">
        <v>72</v>
      </c>
      <c r="B10" s="7" t="s">
        <v>73</v>
      </c>
      <c r="C10" s="7" t="s">
        <v>74</v>
      </c>
      <c r="D10" s="7" t="s">
        <v>75</v>
      </c>
      <c r="E10" s="7" t="s">
        <v>76</v>
      </c>
      <c r="F10" s="8">
        <v>75000</v>
      </c>
      <c r="G10" s="8">
        <v>3</v>
      </c>
      <c r="H10" s="9">
        <v>46027</v>
      </c>
      <c r="I10" s="7" t="s">
        <v>77</v>
      </c>
      <c r="J10" s="7" t="s">
        <v>78</v>
      </c>
      <c r="K10" s="8">
        <v>2024</v>
      </c>
      <c r="L10" s="9">
        <v>45458</v>
      </c>
    </row>
    <row r="11" spans="1:12" ht="29">
      <c r="A11" s="7" t="s">
        <v>126</v>
      </c>
      <c r="B11" s="7" t="s">
        <v>127</v>
      </c>
      <c r="C11" s="7" t="s">
        <v>74</v>
      </c>
      <c r="D11" s="7" t="s">
        <v>88</v>
      </c>
      <c r="E11" s="7" t="s">
        <v>83</v>
      </c>
      <c r="F11" s="8">
        <v>61000</v>
      </c>
      <c r="G11" s="8">
        <v>7</v>
      </c>
      <c r="H11" s="9">
        <v>46078</v>
      </c>
      <c r="I11" s="7" t="s">
        <v>98</v>
      </c>
      <c r="J11" s="7" t="s">
        <v>85</v>
      </c>
      <c r="K11" s="8">
        <v>2026</v>
      </c>
      <c r="L11" s="9">
        <v>46127</v>
      </c>
    </row>
    <row r="12" spans="1:12" ht="29">
      <c r="A12" s="7" t="s">
        <v>96</v>
      </c>
      <c r="B12" s="7" t="s">
        <v>97</v>
      </c>
      <c r="C12" s="7" t="s">
        <v>74</v>
      </c>
      <c r="D12" s="7" t="s">
        <v>82</v>
      </c>
      <c r="E12" s="7" t="s">
        <v>83</v>
      </c>
      <c r="F12" s="8">
        <v>54000</v>
      </c>
      <c r="G12" s="8">
        <v>6</v>
      </c>
      <c r="H12" s="9">
        <v>46037</v>
      </c>
      <c r="I12" s="7" t="s">
        <v>98</v>
      </c>
      <c r="J12" s="7" t="s">
        <v>85</v>
      </c>
      <c r="K12" s="8">
        <v>2024</v>
      </c>
      <c r="L12" s="9">
        <v>45553</v>
      </c>
    </row>
    <row r="13" spans="1:12">
      <c r="A13" s="7" t="s">
        <v>112</v>
      </c>
      <c r="B13" s="7" t="s">
        <v>113</v>
      </c>
      <c r="C13" s="7" t="s">
        <v>81</v>
      </c>
      <c r="D13" s="7" t="s">
        <v>95</v>
      </c>
      <c r="E13" s="7" t="s">
        <v>89</v>
      </c>
      <c r="F13" s="8">
        <v>50000</v>
      </c>
      <c r="G13" s="8">
        <v>6</v>
      </c>
      <c r="H13" s="9">
        <v>46058</v>
      </c>
      <c r="I13" s="7" t="s">
        <v>77</v>
      </c>
      <c r="J13" s="7" t="s">
        <v>85</v>
      </c>
      <c r="K13" s="8">
        <v>2024</v>
      </c>
      <c r="L13" s="9">
        <v>45489</v>
      </c>
    </row>
    <row r="14" spans="1:12" ht="29">
      <c r="A14" s="7" t="s">
        <v>120</v>
      </c>
      <c r="B14" s="7" t="s">
        <v>121</v>
      </c>
      <c r="C14" s="7" t="s">
        <v>81</v>
      </c>
      <c r="D14" s="7" t="s">
        <v>75</v>
      </c>
      <c r="E14" s="7" t="s">
        <v>83</v>
      </c>
      <c r="F14" s="8">
        <v>48000</v>
      </c>
      <c r="G14" s="8">
        <v>5</v>
      </c>
      <c r="H14" s="9">
        <v>46070</v>
      </c>
      <c r="I14" s="7" t="s">
        <v>84</v>
      </c>
      <c r="J14" s="7" t="s">
        <v>85</v>
      </c>
      <c r="K14" s="8">
        <v>2024</v>
      </c>
      <c r="L14" s="9">
        <v>45409</v>
      </c>
    </row>
    <row r="15" spans="1:12" ht="29">
      <c r="A15" s="7" t="s">
        <v>79</v>
      </c>
      <c r="B15" s="7" t="s">
        <v>80</v>
      </c>
      <c r="C15" s="7" t="s">
        <v>81</v>
      </c>
      <c r="D15" s="7" t="s">
        <v>82</v>
      </c>
      <c r="E15" s="7" t="s">
        <v>83</v>
      </c>
      <c r="F15" s="8">
        <v>45000</v>
      </c>
      <c r="G15" s="8">
        <v>5</v>
      </c>
      <c r="H15" s="9">
        <v>46029</v>
      </c>
      <c r="I15" s="7" t="s">
        <v>84</v>
      </c>
      <c r="J15" s="7" t="s">
        <v>85</v>
      </c>
      <c r="K15" s="8">
        <v>2023</v>
      </c>
      <c r="L15" s="9">
        <v>45148</v>
      </c>
    </row>
    <row r="16" spans="1:12">
      <c r="A16" s="7" t="s">
        <v>106</v>
      </c>
      <c r="B16" s="7" t="s">
        <v>107</v>
      </c>
      <c r="C16" s="7" t="s">
        <v>101</v>
      </c>
      <c r="D16" s="7" t="s">
        <v>82</v>
      </c>
      <c r="E16" s="7" t="s">
        <v>89</v>
      </c>
      <c r="F16" s="8">
        <v>42000</v>
      </c>
      <c r="G16" s="8">
        <v>5</v>
      </c>
      <c r="H16" s="9">
        <v>46047</v>
      </c>
      <c r="I16" s="7" t="s">
        <v>77</v>
      </c>
      <c r="J16" s="7" t="s">
        <v>85</v>
      </c>
      <c r="K16" s="8">
        <v>2024</v>
      </c>
      <c r="L16" s="9">
        <v>45604</v>
      </c>
    </row>
    <row r="17" spans="1:12">
      <c r="A17" s="7" t="s">
        <v>114</v>
      </c>
      <c r="B17" s="7" t="s">
        <v>115</v>
      </c>
      <c r="C17" s="7" t="s">
        <v>101</v>
      </c>
      <c r="D17" s="7" t="s">
        <v>75</v>
      </c>
      <c r="E17" s="7" t="s">
        <v>83</v>
      </c>
      <c r="F17" s="8">
        <v>38000</v>
      </c>
      <c r="G17" s="8">
        <v>4</v>
      </c>
      <c r="H17" s="9">
        <v>46061</v>
      </c>
      <c r="I17" s="7" t="s">
        <v>90</v>
      </c>
      <c r="J17" s="7" t="s">
        <v>91</v>
      </c>
      <c r="K17" s="8">
        <v>2026</v>
      </c>
      <c r="L17" s="9">
        <v>46084</v>
      </c>
    </row>
    <row r="18" spans="1:12">
      <c r="A18" s="7" t="s">
        <v>86</v>
      </c>
      <c r="B18" s="7" t="s">
        <v>87</v>
      </c>
      <c r="C18" s="7" t="s">
        <v>74</v>
      </c>
      <c r="D18" s="7" t="s">
        <v>88</v>
      </c>
      <c r="E18" s="7" t="s">
        <v>89</v>
      </c>
      <c r="F18" s="8">
        <v>36000</v>
      </c>
      <c r="G18" s="8">
        <v>4</v>
      </c>
      <c r="H18" s="9">
        <v>46032</v>
      </c>
      <c r="I18" s="7" t="s">
        <v>90</v>
      </c>
      <c r="J18" s="7" t="s">
        <v>91</v>
      </c>
      <c r="K18" s="8">
        <v>2020</v>
      </c>
      <c r="L18" s="9">
        <v>43883</v>
      </c>
    </row>
    <row r="19" spans="1:12" ht="29">
      <c r="A19" s="7" t="s">
        <v>118</v>
      </c>
      <c r="B19" s="7" t="s">
        <v>119</v>
      </c>
      <c r="C19" s="7" t="s">
        <v>94</v>
      </c>
      <c r="D19" s="7" t="s">
        <v>88</v>
      </c>
      <c r="E19" s="7" t="s">
        <v>89</v>
      </c>
      <c r="F19" s="8">
        <v>33000</v>
      </c>
      <c r="G19" s="8">
        <v>3</v>
      </c>
      <c r="H19" s="9">
        <v>46067</v>
      </c>
      <c r="I19" s="7" t="s">
        <v>98</v>
      </c>
      <c r="J19" s="7" t="s">
        <v>85</v>
      </c>
      <c r="K19" s="8">
        <v>2020</v>
      </c>
      <c r="L19" s="9">
        <v>44085</v>
      </c>
    </row>
    <row r="20" spans="1:12">
      <c r="A20" s="7" t="s">
        <v>104</v>
      </c>
      <c r="B20" s="7" t="s">
        <v>105</v>
      </c>
      <c r="C20" s="7" t="s">
        <v>74</v>
      </c>
      <c r="D20" s="7" t="s">
        <v>95</v>
      </c>
      <c r="E20" s="7" t="s">
        <v>83</v>
      </c>
      <c r="F20" s="8">
        <v>32000</v>
      </c>
      <c r="G20" s="8">
        <v>4</v>
      </c>
      <c r="H20" s="9">
        <v>46045</v>
      </c>
      <c r="I20" s="7" t="s">
        <v>90</v>
      </c>
      <c r="J20" s="7" t="s">
        <v>85</v>
      </c>
      <c r="K20" s="8">
        <v>2026</v>
      </c>
      <c r="L20" s="9">
        <v>46073</v>
      </c>
    </row>
    <row r="21" spans="1:12">
      <c r="A21" s="7" t="s">
        <v>99</v>
      </c>
      <c r="B21" s="7" t="s">
        <v>100</v>
      </c>
      <c r="C21" s="7" t="s">
        <v>101</v>
      </c>
      <c r="D21" s="7" t="s">
        <v>75</v>
      </c>
      <c r="E21" s="7" t="s">
        <v>89</v>
      </c>
      <c r="F21" s="8">
        <v>28000</v>
      </c>
      <c r="G21" s="8">
        <v>3</v>
      </c>
      <c r="H21" s="9">
        <v>46040</v>
      </c>
      <c r="I21" s="7" t="s">
        <v>77</v>
      </c>
      <c r="J21" s="7" t="s">
        <v>91</v>
      </c>
      <c r="K21" s="8">
        <v>2023</v>
      </c>
      <c r="L21" s="9">
        <v>45010</v>
      </c>
    </row>
    <row r="22" spans="1:12" ht="29">
      <c r="A22" s="7" t="s">
        <v>108</v>
      </c>
      <c r="B22" s="7" t="s">
        <v>109</v>
      </c>
      <c r="C22" s="7" t="s">
        <v>94</v>
      </c>
      <c r="D22" s="7" t="s">
        <v>75</v>
      </c>
      <c r="E22" s="7" t="s">
        <v>83</v>
      </c>
      <c r="F22" s="8">
        <v>27000</v>
      </c>
      <c r="G22" s="8">
        <v>3</v>
      </c>
      <c r="H22" s="9">
        <v>46050</v>
      </c>
      <c r="I22" s="7" t="s">
        <v>98</v>
      </c>
      <c r="J22" s="7" t="s">
        <v>91</v>
      </c>
      <c r="K22" s="8">
        <v>2023</v>
      </c>
      <c r="L22" s="9">
        <v>45060</v>
      </c>
    </row>
    <row r="23" spans="1:12">
      <c r="A23" s="7" t="s">
        <v>124</v>
      </c>
      <c r="B23" s="7" t="s">
        <v>125</v>
      </c>
      <c r="C23" s="7" t="s">
        <v>101</v>
      </c>
      <c r="D23" s="7" t="s">
        <v>82</v>
      </c>
      <c r="E23" s="7" t="s">
        <v>89</v>
      </c>
      <c r="F23" s="8">
        <v>26000</v>
      </c>
      <c r="G23" s="8">
        <v>2</v>
      </c>
      <c r="H23" s="9">
        <v>46076</v>
      </c>
      <c r="I23" s="7" t="s">
        <v>90</v>
      </c>
      <c r="J23" s="7" t="s">
        <v>91</v>
      </c>
      <c r="K23" s="8">
        <v>2020</v>
      </c>
      <c r="L23" s="9">
        <v>44184</v>
      </c>
    </row>
    <row r="24" spans="1:12">
      <c r="A24" s="14" t="s">
        <v>202</v>
      </c>
    </row>
    <row r="25" spans="1:12">
      <c r="A25" s="58" t="s">
        <v>205</v>
      </c>
      <c r="B25" s="58"/>
      <c r="C25" s="58"/>
    </row>
    <row r="26" spans="1:12">
      <c r="A26" s="55"/>
      <c r="B26" s="55" t="s">
        <v>74</v>
      </c>
      <c r="C26" s="55" t="s">
        <v>204</v>
      </c>
    </row>
    <row r="27" spans="1:12">
      <c r="A27" s="56">
        <v>1</v>
      </c>
      <c r="B27" s="56" t="s">
        <v>46</v>
      </c>
      <c r="C27" s="56">
        <f>SUM($F$4:$F$23)</f>
        <v>1280000</v>
      </c>
    </row>
    <row r="28" spans="1:12">
      <c r="A28" s="56">
        <v>2</v>
      </c>
      <c r="B28" s="56" t="s">
        <v>132</v>
      </c>
      <c r="C28" s="56">
        <f>AVERAGE($F$4:$F$23)</f>
        <v>64000</v>
      </c>
    </row>
    <row r="29" spans="1:12">
      <c r="A29" s="56">
        <v>3</v>
      </c>
      <c r="B29" s="56" t="s">
        <v>133</v>
      </c>
      <c r="C29" s="56">
        <f>MAX($F$4:$F$23)</f>
        <v>150000</v>
      </c>
    </row>
    <row r="30" spans="1:12">
      <c r="A30" s="56">
        <v>4</v>
      </c>
      <c r="B30" s="56" t="s">
        <v>136</v>
      </c>
      <c r="C30" s="57" t="s">
        <v>111</v>
      </c>
    </row>
    <row r="31" spans="1:12">
      <c r="A31" s="56">
        <v>5</v>
      </c>
      <c r="B31" s="56" t="s">
        <v>50</v>
      </c>
      <c r="C31" s="57" t="s">
        <v>88</v>
      </c>
    </row>
    <row r="32" spans="1:12" ht="14" customHeight="1">
      <c r="A32" s="56">
        <v>6</v>
      </c>
      <c r="B32" s="56" t="s">
        <v>203</v>
      </c>
      <c r="C32" s="56">
        <f ca="1">TODAY()</f>
        <v>46300</v>
      </c>
    </row>
    <row r="33" spans="1:5">
      <c r="A33" s="51"/>
      <c r="B33" s="14"/>
      <c r="C33" s="52"/>
    </row>
    <row r="34" spans="1:5">
      <c r="A34" s="1"/>
    </row>
    <row r="35" spans="1:5">
      <c r="A35" s="59"/>
      <c r="B35" s="59"/>
      <c r="C35" s="59"/>
    </row>
    <row r="36" spans="1:5">
      <c r="B36" s="31"/>
      <c r="C36" s="31"/>
    </row>
    <row r="37" spans="1:5">
      <c r="A37" s="60" t="s">
        <v>205</v>
      </c>
      <c r="B37" s="60"/>
      <c r="C37" s="60"/>
    </row>
    <row r="38" spans="1:5">
      <c r="A38" s="55"/>
      <c r="B38" s="55" t="s">
        <v>74</v>
      </c>
      <c r="C38" s="55" t="s">
        <v>204</v>
      </c>
    </row>
    <row r="39" spans="1:5">
      <c r="A39" s="56">
        <v>1</v>
      </c>
      <c r="B39" s="56" t="s">
        <v>46</v>
      </c>
      <c r="C39" s="56">
        <f>SUM($F$4:$F$23)</f>
        <v>1280000</v>
      </c>
    </row>
    <row r="40" spans="1:5">
      <c r="A40" s="56">
        <v>2</v>
      </c>
      <c r="B40" s="56" t="s">
        <v>132</v>
      </c>
      <c r="C40" s="56">
        <f>AVERAGE($F$4:$F$23)</f>
        <v>64000</v>
      </c>
    </row>
    <row r="41" spans="1:5">
      <c r="A41" s="56">
        <v>3</v>
      </c>
      <c r="B41" s="56" t="s">
        <v>133</v>
      </c>
      <c r="C41" s="56">
        <f>MAX($F$4:$F$23)</f>
        <v>150000</v>
      </c>
    </row>
    <row r="42" spans="1:5">
      <c r="A42" s="56">
        <v>4</v>
      </c>
      <c r="B42" s="56" t="s">
        <v>136</v>
      </c>
      <c r="C42" s="57" t="s">
        <v>111</v>
      </c>
      <c r="E42" s="15"/>
    </row>
    <row r="43" spans="1:5">
      <c r="A43" s="56">
        <v>5</v>
      </c>
      <c r="B43" s="56" t="s">
        <v>50</v>
      </c>
      <c r="C43" s="57" t="s">
        <v>88</v>
      </c>
      <c r="E43" s="15"/>
    </row>
    <row r="44" spans="1:5">
      <c r="A44" s="56">
        <v>6</v>
      </c>
      <c r="B44" s="56" t="s">
        <v>203</v>
      </c>
      <c r="C44" s="56">
        <f ca="1">TODAY()</f>
        <v>46300</v>
      </c>
    </row>
    <row r="45" spans="1:5">
      <c r="A45" s="6"/>
      <c r="B45" s="31"/>
      <c r="C45" s="31"/>
    </row>
    <row r="48" spans="1:5">
      <c r="A48" s="54" t="s">
        <v>206</v>
      </c>
      <c r="B48" s="54" t="s">
        <v>207</v>
      </c>
      <c r="C48" s="54" t="s">
        <v>74</v>
      </c>
    </row>
    <row r="49" spans="1:3">
      <c r="A49" s="23" t="s">
        <v>18</v>
      </c>
      <c r="B49" s="23" t="s">
        <v>88</v>
      </c>
      <c r="C49" s="23" t="s">
        <v>208</v>
      </c>
    </row>
    <row r="50" spans="1:3">
      <c r="A50" s="23" t="s">
        <v>66</v>
      </c>
      <c r="B50" s="23" t="s">
        <v>76</v>
      </c>
      <c r="C50" s="23" t="s">
        <v>209</v>
      </c>
    </row>
    <row r="51" spans="1:3">
      <c r="A51" s="23" t="s">
        <v>135</v>
      </c>
      <c r="B51" s="23" t="s">
        <v>210</v>
      </c>
      <c r="C51" s="23" t="s">
        <v>211</v>
      </c>
    </row>
    <row r="53" spans="1:3">
      <c r="A53" t="s">
        <v>212</v>
      </c>
    </row>
    <row r="54" spans="1:3">
      <c r="A54" t="s">
        <v>229</v>
      </c>
    </row>
    <row r="55" spans="1:3">
      <c r="A55" t="s">
        <v>213</v>
      </c>
    </row>
    <row r="56" spans="1:3">
      <c r="A56">
        <v>1</v>
      </c>
      <c r="B56" t="s">
        <v>214</v>
      </c>
    </row>
    <row r="57" spans="1:3">
      <c r="A57">
        <v>2</v>
      </c>
      <c r="B57" t="s">
        <v>215</v>
      </c>
    </row>
    <row r="58" spans="1:3">
      <c r="A58">
        <v>3</v>
      </c>
      <c r="B58" t="s">
        <v>216</v>
      </c>
    </row>
    <row r="60" spans="1:3">
      <c r="A60" t="s">
        <v>217</v>
      </c>
    </row>
    <row r="61" spans="1:3">
      <c r="A61" s="53" t="s">
        <v>228</v>
      </c>
    </row>
    <row r="63" spans="1:3">
      <c r="A63" t="s">
        <v>218</v>
      </c>
    </row>
    <row r="64" spans="1:3">
      <c r="A64">
        <v>1</v>
      </c>
      <c r="B64" t="s">
        <v>219</v>
      </c>
    </row>
    <row r="65" spans="1:2">
      <c r="A65">
        <v>2</v>
      </c>
      <c r="B65" t="s">
        <v>220</v>
      </c>
    </row>
    <row r="66" spans="1:2">
      <c r="A66">
        <v>3</v>
      </c>
      <c r="B66" t="s">
        <v>221</v>
      </c>
    </row>
    <row r="68" spans="1:2">
      <c r="A68" t="s">
        <v>222</v>
      </c>
    </row>
    <row r="69" spans="1:2">
      <c r="A69" t="s">
        <v>227</v>
      </c>
    </row>
    <row r="71" spans="1:2">
      <c r="A71" t="s">
        <v>213</v>
      </c>
    </row>
    <row r="72" spans="1:2">
      <c r="A72">
        <v>1</v>
      </c>
      <c r="B72" t="s">
        <v>223</v>
      </c>
    </row>
    <row r="73" spans="1:2">
      <c r="A73">
        <v>2</v>
      </c>
      <c r="B73" t="s">
        <v>224</v>
      </c>
    </row>
    <row r="74" spans="1:2">
      <c r="A74">
        <v>3</v>
      </c>
    </row>
    <row r="76" spans="1:2">
      <c r="A76" t="s">
        <v>226</v>
      </c>
    </row>
    <row r="78" spans="1:2">
      <c r="A78" t="s">
        <v>225</v>
      </c>
    </row>
    <row r="79" spans="1:2">
      <c r="A79" t="s">
        <v>230</v>
      </c>
    </row>
    <row r="81" spans="1:1">
      <c r="A81" t="s">
        <v>231</v>
      </c>
    </row>
    <row r="82" spans="1:1">
      <c r="A82" t="s">
        <v>232</v>
      </c>
    </row>
    <row r="84" spans="1:1">
      <c r="A84" t="s">
        <v>233</v>
      </c>
    </row>
    <row r="86" spans="1:1">
      <c r="A86" t="s">
        <v>234</v>
      </c>
    </row>
    <row r="87" spans="1:1">
      <c r="A87" t="s">
        <v>235</v>
      </c>
    </row>
  </sheetData>
  <autoFilter ref="A3:L23" xr:uid="{23E3DD8C-16EA-4ED9-9E7C-065414A6A682}">
    <sortState xmlns:xlrd2="http://schemas.microsoft.com/office/spreadsheetml/2017/richdata2" ref="A4:L23">
      <sortCondition descending="1" ref="F4:F23"/>
    </sortState>
  </autoFilter>
  <mergeCells count="3">
    <mergeCell ref="A25:C25"/>
    <mergeCell ref="A35:C35"/>
    <mergeCell ref="A37:C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MINI PROJECT OVERVIEW</vt:lpstr>
      <vt:lpstr>Task 1 Answer - Data Analysis</vt:lpstr>
      <vt:lpstr>Task1 -Data Analysis -Pivot</vt:lpstr>
      <vt:lpstr>Task 2 An  Employee Performance</vt:lpstr>
      <vt:lpstr>Task 3 Answer - Sales Lookup</vt:lpstr>
      <vt:lpstr>Task 4 - last pivot</vt:lpstr>
      <vt:lpstr>Task 4-Total Sales by Region</vt:lpstr>
      <vt:lpstr>Task4 -Total Sales by Product</vt:lpstr>
      <vt:lpstr>Task 4- Total sales per employe</vt:lpstr>
      <vt:lpstr>Task 4 Answers - Pivot Table</vt:lpstr>
      <vt:lpstr>Task 5 Ans - What if analysis</vt:lpstr>
      <vt:lpstr>Task 5 Ans-Scenario Summary</vt:lpstr>
      <vt:lpstr>Task 6 Ans- Macros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chithra shree s</dc:creator>
  <cp:lastModifiedBy>Drishya Ashwin</cp:lastModifiedBy>
  <dcterms:created xsi:type="dcterms:W3CDTF">2026-08-14T07:54:05Z</dcterms:created>
  <dcterms:modified xsi:type="dcterms:W3CDTF">2026-10-05T21:02:45Z</dcterms:modified>
</cp:coreProperties>
</file>